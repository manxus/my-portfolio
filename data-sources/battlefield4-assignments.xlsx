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tlefield 4" sheetId="1" r:id="rId5"/>
  </sheets>
  <definedNames/>
  <calcPr/>
</workbook>
</file>

<file path=xl/sharedStrings.xml><?xml version="1.0" encoding="utf-8"?>
<sst xmlns="http://schemas.openxmlformats.org/spreadsheetml/2006/main" count="678" uniqueCount="366">
  <si>
    <t>CATEGORY</t>
  </si>
  <si>
    <t>NAME</t>
  </si>
  <si>
    <t>DONE</t>
  </si>
  <si>
    <t>DLC</t>
  </si>
  <si>
    <t>TASKS</t>
  </si>
  <si>
    <t>B</t>
  </si>
  <si>
    <t>ASSAULT BASIC</t>
  </si>
  <si>
    <t>None</t>
  </si>
  <si>
    <t>Obtain 7 kills with any Assault rifle</t>
  </si>
  <si>
    <t>Obtain 11 Heals</t>
  </si>
  <si>
    <t>/</t>
  </si>
  <si>
    <t>ENGINEER BASIC</t>
  </si>
  <si>
    <t>Obtain 7 kills with any Carbine</t>
  </si>
  <si>
    <t>Obtain 16 Repairs</t>
  </si>
  <si>
    <t>R</t>
  </si>
  <si>
    <t>RECON BASIC</t>
  </si>
  <si>
    <t>Get 7 kills with any Sniper rifle</t>
  </si>
  <si>
    <t>Have 4 squad members spawn on you</t>
  </si>
  <si>
    <t>O</t>
  </si>
  <si>
    <t>SUPPORT BASIC</t>
  </si>
  <si>
    <t>Obtain 7 kills with any Light Machine Gun</t>
  </si>
  <si>
    <t>Obtain 16 Resupplies</t>
  </si>
  <si>
    <t>LAND VEHICLE BASIC</t>
  </si>
  <si>
    <t>In a round, kill 7 enemies with any Land Vehicle</t>
  </si>
  <si>
    <t>Destroy 25 vehicles with any Land Vehicle</t>
  </si>
  <si>
    <t>N</t>
  </si>
  <si>
    <t>AIRCRAFT BASIC</t>
  </si>
  <si>
    <t>In a round, kill 7 enemies with any aircraft</t>
  </si>
  <si>
    <t>Destroy 25 vehicles with any aircraft</t>
  </si>
  <si>
    <t>Z</t>
  </si>
  <si>
    <t>WATERCRAFT BASIC</t>
  </si>
  <si>
    <t>Obtain 5 kills with the Fast attack craft</t>
  </si>
  <si>
    <t>Obtain 10 watercraft ribbons</t>
  </si>
  <si>
    <t>CARBINE BASIC</t>
  </si>
  <si>
    <t>Obtain 10 Carbine Ribbons</t>
  </si>
  <si>
    <t>E</t>
  </si>
  <si>
    <t>PDW BASIC</t>
  </si>
  <si>
    <t>Obtain 7 kills with any PDW</t>
  </si>
  <si>
    <t>Obtain 10 PDW Ribbons</t>
  </si>
  <si>
    <t>SHOTGUN BASIC</t>
  </si>
  <si>
    <t>Obtain 7 kills with any Shotgun</t>
  </si>
  <si>
    <t>Obtain 10 Shotgun Ribbons</t>
  </si>
  <si>
    <t>CONQUEROR</t>
  </si>
  <si>
    <t>Capture 20 flags in Conquest</t>
  </si>
  <si>
    <t>Obtain 10 Conquest Ribbons</t>
  </si>
  <si>
    <t>RUSHER</t>
  </si>
  <si>
    <t>Obtain 10 M-COM Attacker Ribbons</t>
  </si>
  <si>
    <t>Obtain 10 Rush Ribbons</t>
  </si>
  <si>
    <t>OBLITERATOR</t>
  </si>
  <si>
    <t>Pick up 20 bombs</t>
  </si>
  <si>
    <t>Obtain 10 Obliteration Ribbons</t>
  </si>
  <si>
    <t>BY MY COMMAND</t>
  </si>
  <si>
    <t>Obtain 10 Commander Leadership Ribbons</t>
  </si>
  <si>
    <t>Obtain 10 Commander Resupply Ribbons</t>
  </si>
  <si>
    <t>BLADE RUNNER</t>
  </si>
  <si>
    <t>Obtain 5 kills with the knife</t>
  </si>
  <si>
    <t>Obtain 10 Melee Ribbons</t>
  </si>
  <si>
    <t>FIRE STARTER</t>
  </si>
  <si>
    <t>Start 5 fires in Second Assault</t>
  </si>
  <si>
    <t>DEAD STOP</t>
  </si>
  <si>
    <t>Get a Shotgun Ribbon in a round</t>
  </si>
  <si>
    <t>Raise or lower the Caspian Border Gate in a round</t>
  </si>
  <si>
    <t>EXPRESS TRAIN</t>
  </si>
  <si>
    <t>Assault Rifle Ribbon x1</t>
  </si>
  <si>
    <t>Get 2x Kill Assist Ribbons in a round</t>
  </si>
  <si>
    <t>Get 10 kills inside the Metro in a round</t>
  </si>
  <si>
    <t>CO-PILOT</t>
  </si>
  <si>
    <t>Spend 10 minutes in helicopters</t>
  </si>
  <si>
    <t>Do 10 Squad Repairs</t>
  </si>
  <si>
    <t>DUST DEVIL</t>
  </si>
  <si>
    <t>Get an Anti Vehicle Ribbon in a round</t>
  </si>
  <si>
    <t>Destroy 5 vehicles in Gulf of Oman</t>
  </si>
  <si>
    <t>EAGLE'S NEST</t>
  </si>
  <si>
    <t>Get a Sniper Rifle Ribbon in a round</t>
  </si>
  <si>
    <t>In a round, kill 5 players from the Caspian or Firestorm towers</t>
  </si>
  <si>
    <t>SAFE RAIDING</t>
  </si>
  <si>
    <t>Get a kill with the bombing raid</t>
  </si>
  <si>
    <t>EYES IN THE SKY</t>
  </si>
  <si>
    <t>Air Superiority ribbon x1</t>
  </si>
  <si>
    <t>Jet Fighter ribbon x3</t>
  </si>
  <si>
    <t>OPEN FIRE</t>
  </si>
  <si>
    <t>Assault Rifle ribbon x3</t>
  </si>
  <si>
    <t>Get a kill with pistol in a round</t>
  </si>
  <si>
    <t>Get a kill with 40mm grenade in a round</t>
  </si>
  <si>
    <t>Get a kill with the defibrillator in a round</t>
  </si>
  <si>
    <t>MAKE A DENT</t>
  </si>
  <si>
    <t>Destroy an air vehicle with portable AA</t>
  </si>
  <si>
    <t>Anti-Vehicle ribbon x3</t>
  </si>
  <si>
    <t>POWDER KEG</t>
  </si>
  <si>
    <t>Get 1 Mortar kill</t>
  </si>
  <si>
    <t>LMG ribbon x3</t>
  </si>
  <si>
    <t>NEED ONLY ONE</t>
  </si>
  <si>
    <t>Sniper Rifle ribbon x3</t>
  </si>
  <si>
    <t>Get a kill with a shotgun in a round</t>
  </si>
  <si>
    <t>Get a kill with a DMR in a round</t>
  </si>
  <si>
    <t>Get a kill with C4 in a round</t>
  </si>
  <si>
    <t>TITANS OF STEEL</t>
  </si>
  <si>
    <t>Destroy an objective in Carrier Assault</t>
  </si>
  <si>
    <t>SPARE TIME SNIPER</t>
  </si>
  <si>
    <t>Get 20 headshots with Assault Rifles</t>
  </si>
  <si>
    <t>PACKING A PUNCH</t>
  </si>
  <si>
    <t>Destroy 20 boats</t>
  </si>
  <si>
    <t>SWISS CHEESE</t>
  </si>
  <si>
    <t>Destroy 3 vehicles as Support</t>
  </si>
  <si>
    <t>ALWAYS DEADLY</t>
  </si>
  <si>
    <t>Get 5 kills with C4 on NS maps</t>
  </si>
  <si>
    <t>BIG SPLASH</t>
  </si>
  <si>
    <t>Activate the floodgates on the Sunken Dragon map</t>
  </si>
  <si>
    <t>Get 5 kills while swimming</t>
  </si>
  <si>
    <t>LIONS AND TIGERS AND BEARS</t>
  </si>
  <si>
    <t>Kill 10 Support enemies who are also on foot</t>
  </si>
  <si>
    <t>Kill 10 Engineer enemies who are also on foot</t>
  </si>
  <si>
    <t>Kill 10 Recon enemies who are also on foot</t>
  </si>
  <si>
    <t>NOT THE WEAKEST LINK</t>
  </si>
  <si>
    <t>2 PDW Ribbons</t>
  </si>
  <si>
    <t>Link 10 points in Chainlink</t>
  </si>
  <si>
    <t>Get “Squad Order Followed“ 10 times</t>
  </si>
  <si>
    <t>THE 'I' IN TEAM</t>
  </si>
  <si>
    <t>2 Sniper Rifle Ribbons</t>
  </si>
  <si>
    <t>10 Radio Beacon spawns</t>
  </si>
  <si>
    <t>20 Spot Assists</t>
  </si>
  <si>
    <t>VANGUARD</t>
  </si>
  <si>
    <t>5 Savior Kills</t>
  </si>
  <si>
    <t>20 Suppresion Assists</t>
  </si>
  <si>
    <t>Destroy 3 explosives</t>
  </si>
  <si>
    <t>ROAD WARRIOR</t>
  </si>
  <si>
    <t>10 Capture Point Attacker kills</t>
  </si>
  <si>
    <t>10 Capture Point Defender kills</t>
  </si>
  <si>
    <t>25 kills with shotguns</t>
  </si>
  <si>
    <t>DISINFORMATION</t>
  </si>
  <si>
    <t>Affect 10 enemies with M84 Flashbangs</t>
  </si>
  <si>
    <t>Get 3 melee kills</t>
  </si>
  <si>
    <t>EYE SPY</t>
  </si>
  <si>
    <t>Get 2 Spotting Ribbons</t>
  </si>
  <si>
    <t>Get 20 DMR or Carbine kills</t>
  </si>
  <si>
    <t>S</t>
  </si>
  <si>
    <t>ASSAULT VETERAN</t>
  </si>
  <si>
    <t>Obtain 8 kills with any Assault rifle</t>
  </si>
  <si>
    <t>Obtain 12 Heals</t>
  </si>
  <si>
    <t>ENGINEER VETERAN</t>
  </si>
  <si>
    <t>Obtain 8 kills with any Carbine</t>
  </si>
  <si>
    <t>Obtain 17 Repairs</t>
  </si>
  <si>
    <t>I</t>
  </si>
  <si>
    <t>RECON VETERAN</t>
  </si>
  <si>
    <t>Obtain 8 kills with any Sniper rifle</t>
  </si>
  <si>
    <t>Have 5 squad members spawn on you</t>
  </si>
  <si>
    <t>L</t>
  </si>
  <si>
    <t>SUPPORT VETERAN</t>
  </si>
  <si>
    <t>Obtain 8 kills with any Light machine gun</t>
  </si>
  <si>
    <t>Obtain 17 Resupplies</t>
  </si>
  <si>
    <t>LAND VEHICLES VETERAN</t>
  </si>
  <si>
    <t>In a round, kill 10 enemies with any Land Vehicle</t>
  </si>
  <si>
    <t>Destroy 50 vehicles with any Land Vehicle</t>
  </si>
  <si>
    <t>V</t>
  </si>
  <si>
    <t>AIRCRAFT VETERAN</t>
  </si>
  <si>
    <t>In a round, kill 10 enemies with any aircraft</t>
  </si>
  <si>
    <t>Destroy 50 vehicles with any aircraft</t>
  </si>
  <si>
    <t>WATERCRAFT VETERAN</t>
  </si>
  <si>
    <t>Get 6 kills with the Fast attack craft</t>
  </si>
  <si>
    <t>Obtain 20 watercraft ribbons</t>
  </si>
  <si>
    <t>CARBINE VETERAN</t>
  </si>
  <si>
    <t>Obtain 20 Carbine Ribbons</t>
  </si>
  <si>
    <t>PDW VETERAN</t>
  </si>
  <si>
    <t>Obtain 8 kills with any PDW</t>
  </si>
  <si>
    <t>Obtain 20 PDW Ribbons</t>
  </si>
  <si>
    <t>SHOTGUN VETERAN</t>
  </si>
  <si>
    <t>Obtain 8 kills with any Shotgun</t>
  </si>
  <si>
    <t>Obtain 20 Shotgun Ribbons</t>
  </si>
  <si>
    <t>TIN FOIL HAT</t>
  </si>
  <si>
    <t>Obtain 10 Commander Surveillance Ribbons</t>
  </si>
  <si>
    <t>Obtain 30 EMP Bonuses as Commander</t>
  </si>
  <si>
    <t>Obtain 20 Spotting Ribbons</t>
  </si>
  <si>
    <t>WE'LL MEET AGAIN</t>
  </si>
  <si>
    <t>Launch 100 Cruise Missiles</t>
  </si>
  <si>
    <t>Deploy 50 Early Warnings</t>
  </si>
  <si>
    <t>LEAVE NO MAN BEHIND</t>
  </si>
  <si>
    <t>Obtain 25 Squad Savior bonuses</t>
  </si>
  <si>
    <t>Obtain 25 Squad Avenger bonuses</t>
  </si>
  <si>
    <t>Perform 50 Squad Revives</t>
  </si>
  <si>
    <t>WRECKING BALL</t>
  </si>
  <si>
    <t>Obtain 25 Mobility Critical Hits</t>
  </si>
  <si>
    <t>Obtain 50 Vehicle Destroyed</t>
  </si>
  <si>
    <t>STEALTH ASSASSIN</t>
  </si>
  <si>
    <t>Obtain 20 Dog Tags</t>
  </si>
  <si>
    <t>Obtain 20 Melee Ribbons</t>
  </si>
  <si>
    <t>AIR MAIL</t>
  </si>
  <si>
    <t>Transport a flag carrier in a helicopter which results in a capture</t>
  </si>
  <si>
    <t>SCORCHED</t>
  </si>
  <si>
    <t>Get a kill by using the Firestorm tower burnoff</t>
  </si>
  <si>
    <t>RE-MASTERED</t>
  </si>
  <si>
    <t>Get 25 Kills with the M60-E4</t>
  </si>
  <si>
    <t>Get 25 kills with the F2000</t>
  </si>
  <si>
    <t>Get 25 kills with the DAO-12</t>
  </si>
  <si>
    <t>Get 25 kills with the AS VAL</t>
  </si>
  <si>
    <t>Get 25 kills with the GOL Magnum</t>
  </si>
  <si>
    <t>MOTHER OF ALL BOMBS</t>
  </si>
  <si>
    <t>Get 15 kills with the bombing raid</t>
  </si>
  <si>
    <t>Destroy an enemy bomber</t>
  </si>
  <si>
    <t>MULTI TALENT</t>
  </si>
  <si>
    <t>Get a kill with a sniper rifle in a round</t>
  </si>
  <si>
    <t>Get a kill with an assault rifle in a round</t>
  </si>
  <si>
    <t>Get a kill with an LMG in a round</t>
  </si>
  <si>
    <t>Get a kill with a hand grenade in a round</t>
  </si>
  <si>
    <t>I'M DYNAMITE</t>
  </si>
  <si>
    <t>Bomber Delivery ribbon x3</t>
  </si>
  <si>
    <t>Get 20 UCAV kills</t>
  </si>
  <si>
    <t>Score a multikill!</t>
  </si>
  <si>
    <t>CURVE BALL</t>
  </si>
  <si>
    <t>Get 10 kills with an Impact Grenade</t>
  </si>
  <si>
    <t>MULTI TOOL</t>
  </si>
  <si>
    <t>Get 10 kills with UGL Darts</t>
  </si>
  <si>
    <t>Get 10 kills with UGL LVG</t>
  </si>
  <si>
    <t>DEATH FROM BELOW</t>
  </si>
  <si>
    <t>PDW ribbon x3</t>
  </si>
  <si>
    <t>Destroy 5 attack air vehicles with Rocket Launchers</t>
  </si>
  <si>
    <t>REMOTE OPERATOR</t>
  </si>
  <si>
    <t>Destroy a vehicle with the EOD Bot</t>
  </si>
  <si>
    <t>Get 5 kills with the RAWR</t>
  </si>
  <si>
    <t>Get 10 kills with the Mortar</t>
  </si>
  <si>
    <t>Spot 20 targets with the MAV</t>
  </si>
  <si>
    <t>RECOIL KINETICS</t>
  </si>
  <si>
    <t>Get 20 headshots with the Unica 6</t>
  </si>
  <si>
    <t>KILLJOY</t>
  </si>
  <si>
    <t>Get 10 kills while under 30 health</t>
  </si>
  <si>
    <t>Break 30 enemy links in Chainlink</t>
  </si>
  <si>
    <t>Win a round of Chainlink with 50 tickets left</t>
  </si>
  <si>
    <t>XD-1 DEATHBRINGER</t>
  </si>
  <si>
    <t>Get 30 kills with the XD-1 Accipiter</t>
  </si>
  <si>
    <t>Travel 3km in the XD-1 Accipiter</t>
  </si>
  <si>
    <t>SNOWMOBILE SLAYER</t>
  </si>
  <si>
    <t>Get 10 Roadkills with the Snowmobile</t>
  </si>
  <si>
    <t>Get 5 minutes of air time in the Snowmobile</t>
  </si>
  <si>
    <t>HOVER TANK HARBINGER</t>
  </si>
  <si>
    <t>Destroy 15 vehicles with the HT-95 Levkov</t>
  </si>
  <si>
    <t>Spend 10 minutes in the HT-95 Levkov</t>
  </si>
  <si>
    <t>RAILGUN RAMPAGE</t>
  </si>
  <si>
    <t>Destroy 10 Vehicles with the Rorsch Mk-1</t>
  </si>
  <si>
    <t>Get 25 kills with the Rorsch Mk-1</t>
  </si>
  <si>
    <t>MECHANIZED MAYHEM</t>
  </si>
  <si>
    <t>Get 25 kills with the Schipunov 42</t>
  </si>
  <si>
    <t>Spend 5 minutes in the air with the Launch Pod</t>
  </si>
  <si>
    <t>G</t>
  </si>
  <si>
    <t>ASSAULT EXPERT</t>
  </si>
  <si>
    <t>Obtain 50 Medkit Ribbons</t>
  </si>
  <si>
    <t>Obtain 200 kills with any Assault rifle</t>
  </si>
  <si>
    <t>Obtain 10 Assault Rifle Ribbons</t>
  </si>
  <si>
    <t>ENGINEER EXPERT</t>
  </si>
  <si>
    <t>Obtain 50 Repair Tool Ribbons</t>
  </si>
  <si>
    <t>Get 200 kills with any carbine</t>
  </si>
  <si>
    <t>RECON EXPERT</t>
  </si>
  <si>
    <t>Obtain 50 Marksman Ribbons</t>
  </si>
  <si>
    <t>Obtain 200 kills with any Sniper rifle</t>
  </si>
  <si>
    <t>Obtain 10 Sniper Rifle Ribbons</t>
  </si>
  <si>
    <t>SUPPORT EXPERT</t>
  </si>
  <si>
    <t>Obtain 50 Ammo Ribbons</t>
  </si>
  <si>
    <t>Obtain 200 kills with any LMG</t>
  </si>
  <si>
    <t>Obtain 10 Light Machine Gun Ribbons</t>
  </si>
  <si>
    <t>OFFENSIVE COMMANDER</t>
  </si>
  <si>
    <t>Kill 30 enemies with Cruise Missiles</t>
  </si>
  <si>
    <t>Designate 10 High Value Targets</t>
  </si>
  <si>
    <t>Deploy 50 Gunships</t>
  </si>
  <si>
    <t>D</t>
  </si>
  <si>
    <t>HITMAN</t>
  </si>
  <si>
    <t>Perform 10 Squad Wipes</t>
  </si>
  <si>
    <t>Get 5 Kill Streak Stopped</t>
  </si>
  <si>
    <t>Kill 3 Commander-designated High Value Targets</t>
  </si>
  <si>
    <t>LAND WARRIOR</t>
  </si>
  <si>
    <t>Obtain 1 Main Battle Tank Medal</t>
  </si>
  <si>
    <t>Obtain 1 Infantry Fighting Vehicle Medal</t>
  </si>
  <si>
    <t>Destroy 1 Helicopter with a Main Battle Tank</t>
  </si>
  <si>
    <t>AIR WARRIOR</t>
  </si>
  <si>
    <t>Obtain 1 Attack Helicopter Medal</t>
  </si>
  <si>
    <t>Obtain 1 Jet Fighter Medal</t>
  </si>
  <si>
    <t>Destroy 5 Jets with Attack Helicopters.</t>
  </si>
  <si>
    <t>TAXI DRIVER</t>
  </si>
  <si>
    <t>Obtain 30 Driver Bonuses</t>
  </si>
  <si>
    <t>Obtain 10 Squad Vehicle Kill Assist</t>
  </si>
  <si>
    <t>WALL OF SHOTGUN</t>
  </si>
  <si>
    <t>Obtain 50 kills with the DBV-12</t>
  </si>
  <si>
    <t>Obtain 50 kills with the M26 MASS</t>
  </si>
  <si>
    <t>Obtain 50 kills with the Serbu Shorty</t>
  </si>
  <si>
    <t>SWEDISH STEEL</t>
  </si>
  <si>
    <t>Obtain 100 kills with the AK 5C carbine</t>
  </si>
  <si>
    <t>Obtain 50 headshots with the AK 5C carbine</t>
  </si>
  <si>
    <t>Obtain 100 kills with the CBJ-MS PDW</t>
  </si>
  <si>
    <t>MADE IN CHINA</t>
  </si>
  <si>
    <t>Obtain 50 headshots with the QBU-88 DMR</t>
  </si>
  <si>
    <t>Obtain 100 kills with the QBS-09  shotgun</t>
  </si>
  <si>
    <t>Obtain 50 kills with the QSZ-92 handgun</t>
  </si>
  <si>
    <t>FROM RUSSIA WITH LEAD</t>
  </si>
  <si>
    <t>Obtain 50 headshots with the SKS DMR</t>
  </si>
  <si>
    <t>Obtain 100 kills with the A-91 carbine</t>
  </si>
  <si>
    <t>Obtain 50 kills with the MP412 REX handgun</t>
  </si>
  <si>
    <t>AMERICAN CLASSICS</t>
  </si>
  <si>
    <t>Obtain 50 headshots with the M39 DMR</t>
  </si>
  <si>
    <t>Obtain 100 kills with the M4 carbine</t>
  </si>
  <si>
    <t>Obtain 50 kills with the .44 Magnum handgun</t>
  </si>
  <si>
    <t>MELEE EXPERT</t>
  </si>
  <si>
    <t>Obtain 50 Melee Ribbons</t>
  </si>
  <si>
    <t>PERFECT LANDING</t>
  </si>
  <si>
    <t>Play 10 hours of Second Assault</t>
  </si>
  <si>
    <t>Land on top of the tallest tower in Caspian or Firestorm in a round</t>
  </si>
  <si>
    <t>Get a kill-streak of 10 in a round</t>
  </si>
  <si>
    <t>MIDDLE KING</t>
  </si>
  <si>
    <t>Play 10 hours of China Rising</t>
  </si>
  <si>
    <t>Get a kill streak of 5</t>
  </si>
  <si>
    <t>Get a kill with SUAV</t>
  </si>
  <si>
    <t>SCOURGE OF THE SEA</t>
  </si>
  <si>
    <t>Play 10 hours of Naval Strike</t>
  </si>
  <si>
    <t>Get 1 kill with AA Mine</t>
  </si>
  <si>
    <t>GIANT SLAYER</t>
  </si>
  <si>
    <t>Win 20 rounds of Carrier Assault</t>
  </si>
  <si>
    <t>CITY SLICKER</t>
  </si>
  <si>
    <t>Play 10 hours of Dragon's Teeth</t>
  </si>
  <si>
    <t>Get 100 kills on Dragon's Teeth maps</t>
  </si>
  <si>
    <t>FROSTBITE</t>
  </si>
  <si>
    <t>Play 10 hours of Final Stand</t>
  </si>
  <si>
    <t>Win 10 rounds on Operation Whiteout</t>
  </si>
  <si>
    <t>Win 10 rounds on Hammerhead</t>
  </si>
  <si>
    <t>Win 10 rounds on Hangar 21</t>
  </si>
  <si>
    <t>Win 10 rounds on Giants of Karelia</t>
  </si>
  <si>
    <t>ULTIMATE ASSAULT</t>
  </si>
  <si>
    <t>200 kills with Assault Rifles</t>
  </si>
  <si>
    <t>50 kills with Grenade Launchers</t>
  </si>
  <si>
    <t>100 Heals</t>
  </si>
  <si>
    <t>50 Revives</t>
  </si>
  <si>
    <t>10 kills with Defibrillator</t>
  </si>
  <si>
    <t>ULTIMATE ENGINEER</t>
  </si>
  <si>
    <t>200 kills with PDWs</t>
  </si>
  <si>
    <t>75 kills with Rocket Launchers</t>
  </si>
  <si>
    <t>Destroy 50 vehicles with Rocket Launchers</t>
  </si>
  <si>
    <t>Destroy 25 vehicles with Mines</t>
  </si>
  <si>
    <t>100 repairs</t>
  </si>
  <si>
    <t>ULTIMATE SUPPORT</t>
  </si>
  <si>
    <t>200 kills with LMGs</t>
  </si>
  <si>
    <t>50 kills with XM25</t>
  </si>
  <si>
    <t>50 kills with C4 or Claymore</t>
  </si>
  <si>
    <t>50 kills with the Mortar or UCAV</t>
  </si>
  <si>
    <t>100 Resupplies</t>
  </si>
  <si>
    <t>ULTIMATE RECON</t>
  </si>
  <si>
    <t>200 kills with Sniper Rifles</t>
  </si>
  <si>
    <t>50 kills with C4 or Claymores</t>
  </si>
  <si>
    <t>Spot 100 targets with the MAV or SUAV</t>
  </si>
  <si>
    <t>Paint 25 vehicles</t>
  </si>
  <si>
    <t>25 Motion Sensor Assists</t>
  </si>
  <si>
    <t>ULTIMATE COMMANDER</t>
  </si>
  <si>
    <t>100 Scan Assists</t>
  </si>
  <si>
    <t>100 EMP Assists</t>
  </si>
  <si>
    <t>Promote 75 Squads</t>
  </si>
  <si>
    <t>50 Ammo Drops Used</t>
  </si>
  <si>
    <t>25 Vehicles Used</t>
  </si>
  <si>
    <t>PHANTOM PROSPECT</t>
  </si>
  <si>
    <t>Score 200 kills with Assault rifles</t>
  </si>
  <si>
    <t>Score 200 kills with Main battle tanks</t>
  </si>
  <si>
    <t>Get a total of 300 meter headshot</t>
  </si>
  <si>
    <t>PHANTOM TRAINEE</t>
  </si>
  <si>
    <t>Score 200 kills with pistols</t>
  </si>
  <si>
    <t>Score 20 kills in a jet</t>
  </si>
  <si>
    <t>Get 2x Shotgun Ribbons in a round</t>
  </si>
  <si>
    <t>PHANTOM INITIATE</t>
  </si>
  <si>
    <t>Get 200 LMG kills</t>
  </si>
  <si>
    <t>Get 50 kills with explosives</t>
  </si>
  <si>
    <t>Get 25 roadkills</t>
  </si>
  <si>
    <t>PHANTOM OPERATIVE</t>
  </si>
  <si>
    <t>Get 200 kills with the Phantom</t>
  </si>
  <si>
    <t>Get 50 headshots with the Phantom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</si>
</sst>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0">
    <font>
      <sz val="10.0"/>
      <color rgb="FF000000"/>
      <name val="Arial"/>
      <scheme val="minor"/>
    </font>
    <font>
      <color rgb="FFE69138"/>
      <name val="Calibri"/>
    </font>
    <font>
      <sz val="36.0"/>
      <color rgb="FFE69138"/>
      <name val="Calibri"/>
    </font>
    <font>
      <b/>
      <sz val="11.0"/>
      <color rgb="FFE69138"/>
      <name val="Calibri"/>
    </font>
    <font>
      <color rgb="FFE69138"/>
      <name val="Arial"/>
      <scheme val="minor"/>
    </font>
    <font/>
    <font>
      <b/>
      <color rgb="FFE69138"/>
      <name val="Calibri"/>
    </font>
    <font>
      <color theme="1"/>
      <name val="Arial"/>
      <scheme val="minor"/>
    </font>
    <font>
      <sz val="10.0"/>
      <color rgb="FFE69138"/>
      <name val="Calibri"/>
    </font>
    <font>
      <b/>
      <sz val="10.0"/>
      <color rgb="FFE69138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03044"/>
        <bgColor rgb="FF203044"/>
      </patternFill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</fills>
  <borders count="4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borderId="0" fillId="2" fontId="1" numFmtId="0" xfId="0" applyFont="1"/>
    <xf borderId="0" fillId="2" fontId="2" numFmtId="0" xfId="0" applyAlignment="1" applyFont="1">
      <alignment horizontal="center" readingOrder="0" vertical="center"/>
    </xf>
    <xf borderId="0" fillId="2" fontId="3" numFmtId="0" xfId="0" applyAlignment="1" applyFont="1">
      <alignment readingOrder="0" vertical="center"/>
    </xf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right" readingOrder="0"/>
    </xf>
    <xf borderId="0" fillId="2" fontId="4" numFmtId="0" xfId="0" applyAlignment="1" applyFont="1">
      <alignment horizontal="center" readingOrder="0"/>
    </xf>
    <xf borderId="0" fillId="2" fontId="1" numFmtId="0" xfId="0" applyAlignment="1" applyFont="1">
      <alignment horizontal="left" readingOrder="0"/>
    </xf>
    <xf borderId="1" fillId="2" fontId="3" numFmtId="0" xfId="0" applyAlignment="1" applyBorder="1" applyFont="1">
      <alignment readingOrder="0" vertical="center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/>
    </xf>
    <xf borderId="1" fillId="0" fontId="5" numFmtId="0" xfId="0" applyBorder="1" applyFont="1"/>
    <xf borderId="1" fillId="2" fontId="1" numFmtId="0" xfId="0" applyBorder="1" applyFont="1"/>
    <xf borderId="1" fillId="2" fontId="1" numFmtId="0" xfId="0" applyAlignment="1" applyBorder="1" applyFont="1">
      <alignment horizontal="center"/>
    </xf>
    <xf borderId="2" fillId="0" fontId="5" numFmtId="0" xfId="0" applyBorder="1" applyFont="1"/>
    <xf borderId="2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right" readingOrder="0"/>
    </xf>
    <xf borderId="2" fillId="2" fontId="4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left" readingOrder="0"/>
    </xf>
    <xf borderId="2" fillId="2" fontId="1" numFmtId="0" xfId="0" applyBorder="1" applyFont="1"/>
    <xf borderId="2" fillId="2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2" fontId="6" numFmtId="0" xfId="0" applyAlignment="1" applyFont="1">
      <alignment horizontal="center" readingOrder="0" vertical="center"/>
    </xf>
    <xf borderId="2" fillId="2" fontId="6" numFmtId="0" xfId="0" applyAlignment="1" applyBorder="1" applyFont="1">
      <alignment horizontal="center" readingOrder="0"/>
    </xf>
    <xf borderId="2" fillId="2" fontId="1" numFmtId="0" xfId="0" applyAlignment="1" applyBorder="1" applyFont="1">
      <alignment readingOrder="0"/>
    </xf>
    <xf borderId="0" fillId="2" fontId="1" numFmtId="164" xfId="0" applyAlignment="1" applyFont="1" applyNumberFormat="1">
      <alignment horizontal="center" readingOrder="0"/>
    </xf>
    <xf borderId="1" fillId="2" fontId="1" numFmtId="0" xfId="0" applyAlignment="1" applyBorder="1" applyFont="1">
      <alignment readingOrder="0"/>
    </xf>
    <xf borderId="2" fillId="2" fontId="7" numFmtId="0" xfId="0" applyBorder="1" applyFont="1"/>
    <xf borderId="2" fillId="2" fontId="1" numFmtId="164" xfId="0" applyAlignment="1" applyBorder="1" applyFont="1" applyNumberFormat="1">
      <alignment horizontal="center" readingOrder="0"/>
    </xf>
    <xf borderId="0" fillId="2" fontId="8" numFmtId="0" xfId="0" applyAlignment="1" applyFont="1">
      <alignment readingOrder="0"/>
    </xf>
    <xf borderId="3" fillId="3" fontId="8" numFmtId="0" xfId="0" applyBorder="1" applyFill="1" applyFont="1"/>
    <xf borderId="0" fillId="3" fontId="1" numFmtId="0" xfId="0" applyFont="1"/>
    <xf borderId="0" fillId="3" fontId="1" numFmtId="0" xfId="0" applyAlignment="1" applyFont="1">
      <alignment horizontal="center"/>
    </xf>
    <xf borderId="0" fillId="2" fontId="9" numFmtId="0" xfId="0" applyAlignment="1" applyFont="1">
      <alignment horizontal="center" readingOrder="0" vertical="center"/>
    </xf>
    <xf borderId="2" fillId="2" fontId="9" numFmtId="0" xfId="0" applyAlignment="1" applyBorder="1" applyFont="1">
      <alignment horizontal="center" readingOrder="0" vertical="center"/>
    </xf>
    <xf borderId="0" fillId="2" fontId="8" numFmtId="0" xfId="0" applyAlignment="1" applyFont="1">
      <alignment horizontal="center" readingOrder="0" vertical="center"/>
    </xf>
    <xf borderId="2" fillId="2" fontId="1" numFmtId="0" xfId="0" applyAlignment="1" applyBorder="1" applyFont="1">
      <alignment readingOrder="0" textRotation="0"/>
    </xf>
    <xf borderId="0" fillId="2" fontId="1" numFmtId="0" xfId="0" applyAlignment="1" applyFont="1">
      <alignment horizontal="center" readingOrder="0" textRotation="0"/>
    </xf>
    <xf borderId="0" fillId="2" fontId="8" numFmtId="0" xfId="0" applyFont="1"/>
    <xf borderId="3" fillId="3" fontId="1" numFmtId="0" xfId="0" applyBorder="1" applyFont="1"/>
    <xf borderId="1" fillId="2" fontId="7" numFmtId="0" xfId="0" applyBorder="1" applyFont="1"/>
    <xf borderId="0" fillId="4" fontId="1" numFmtId="0" xfId="0" applyFill="1" applyFont="1"/>
    <xf borderId="0" fillId="4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31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55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57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67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69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73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75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77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114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122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124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126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128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130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132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134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136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138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140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142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144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177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179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181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183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185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187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203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205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207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8.25"/>
    <col customWidth="1" min="2" max="2" width="24.38"/>
    <col customWidth="1" min="3" max="3" width="5.75"/>
    <col customWidth="1" min="4" max="4" width="4.63"/>
    <col customWidth="1" min="5" max="10" width="15.0"/>
    <col customWidth="1" min="11" max="13" width="11.13"/>
    <col customWidth="1" min="14" max="16" width="9.75"/>
    <col customWidth="1" min="17" max="19" width="8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/>
      <c r="G1" s="3"/>
      <c r="H1" s="4"/>
      <c r="I1" s="3"/>
      <c r="J1" s="3"/>
      <c r="K1" s="4"/>
      <c r="L1" s="3"/>
      <c r="M1" s="3"/>
      <c r="N1" s="4"/>
      <c r="O1" s="3"/>
      <c r="P1" s="4"/>
      <c r="Q1" s="3"/>
      <c r="R1" s="4"/>
      <c r="S1" s="4"/>
    </row>
    <row r="2">
      <c r="A2" s="5" t="s">
        <v>5</v>
      </c>
      <c r="B2" s="6" t="s">
        <v>6</v>
      </c>
      <c r="C2" s="7" t="str">
        <f>IF(AND(E3/G3=1, H3/J3=1), "✔️", "❌")</f>
        <v>✔️</v>
      </c>
      <c r="D2" s="7" t="s">
        <v>7</v>
      </c>
      <c r="E2" s="2" t="s">
        <v>8</v>
      </c>
      <c r="H2" s="2" t="s">
        <v>9</v>
      </c>
      <c r="K2" s="4"/>
      <c r="L2" s="3"/>
      <c r="M2" s="3"/>
      <c r="N2" s="4"/>
      <c r="O2" s="3"/>
      <c r="P2" s="4"/>
      <c r="Q2" s="3"/>
      <c r="R2" s="4"/>
      <c r="S2" s="4"/>
    </row>
    <row r="3">
      <c r="D3" s="7"/>
      <c r="E3" s="8">
        <v>7.0</v>
      </c>
      <c r="F3" s="9" t="s">
        <v>10</v>
      </c>
      <c r="G3" s="10">
        <v>7.0</v>
      </c>
      <c r="H3" s="8">
        <v>11.0</v>
      </c>
      <c r="I3" s="9" t="s">
        <v>10</v>
      </c>
      <c r="J3" s="10">
        <v>11.0</v>
      </c>
      <c r="K3" s="4"/>
      <c r="L3" s="3"/>
      <c r="M3" s="3"/>
      <c r="N3" s="4"/>
      <c r="O3" s="3"/>
      <c r="P3" s="4"/>
      <c r="Q3" s="3"/>
      <c r="R3" s="4"/>
      <c r="S3" s="4"/>
    </row>
    <row r="4">
      <c r="B4" s="11" t="s">
        <v>11</v>
      </c>
      <c r="C4" s="12" t="str">
        <f>IF(AND(E5/G5=1, H5/J5=1), "✔️", "❌")</f>
        <v>✔️</v>
      </c>
      <c r="D4" s="12" t="s">
        <v>7</v>
      </c>
      <c r="E4" s="13" t="s">
        <v>12</v>
      </c>
      <c r="F4" s="14"/>
      <c r="G4" s="14"/>
      <c r="H4" s="13" t="s">
        <v>13</v>
      </c>
      <c r="I4" s="14"/>
      <c r="J4" s="14"/>
      <c r="K4" s="15"/>
      <c r="L4" s="16"/>
      <c r="M4" s="16"/>
      <c r="N4" s="15"/>
      <c r="O4" s="16"/>
      <c r="P4" s="15"/>
      <c r="Q4" s="16"/>
      <c r="R4" s="15"/>
      <c r="S4" s="15"/>
    </row>
    <row r="5">
      <c r="A5" s="5" t="s">
        <v>14</v>
      </c>
      <c r="B5" s="17"/>
      <c r="C5" s="17"/>
      <c r="D5" s="18"/>
      <c r="E5" s="19">
        <v>7.0</v>
      </c>
      <c r="F5" s="20" t="s">
        <v>10</v>
      </c>
      <c r="G5" s="21">
        <v>7.0</v>
      </c>
      <c r="H5" s="19">
        <v>16.0</v>
      </c>
      <c r="I5" s="20" t="s">
        <v>10</v>
      </c>
      <c r="J5" s="21">
        <v>16.0</v>
      </c>
      <c r="K5" s="22"/>
      <c r="L5" s="23"/>
      <c r="M5" s="23"/>
      <c r="N5" s="22"/>
      <c r="O5" s="23"/>
      <c r="P5" s="22"/>
      <c r="Q5" s="23"/>
      <c r="R5" s="22"/>
      <c r="S5" s="22"/>
    </row>
    <row r="6">
      <c r="B6" s="6" t="s">
        <v>15</v>
      </c>
      <c r="C6" s="7" t="str">
        <f>IF(AND(E7/G7=1, H7/J7=1), "✔️", "❌")</f>
        <v>✔️</v>
      </c>
      <c r="D6" s="2" t="s">
        <v>7</v>
      </c>
      <c r="E6" s="2" t="s">
        <v>16</v>
      </c>
      <c r="H6" s="2" t="s">
        <v>17</v>
      </c>
      <c r="K6" s="4"/>
      <c r="L6" s="3"/>
      <c r="M6" s="3"/>
      <c r="N6" s="4"/>
      <c r="O6" s="3"/>
      <c r="P6" s="4"/>
      <c r="Q6" s="3"/>
      <c r="R6" s="4"/>
      <c r="S6" s="4"/>
    </row>
    <row r="7">
      <c r="D7" s="2"/>
      <c r="E7" s="8">
        <v>7.0</v>
      </c>
      <c r="F7" s="9" t="s">
        <v>10</v>
      </c>
      <c r="G7" s="10">
        <v>7.0</v>
      </c>
      <c r="H7" s="8">
        <v>4.0</v>
      </c>
      <c r="I7" s="9" t="s">
        <v>10</v>
      </c>
      <c r="J7" s="10">
        <v>4.0</v>
      </c>
      <c r="K7" s="4"/>
      <c r="L7" s="3"/>
      <c r="M7" s="3"/>
      <c r="N7" s="4"/>
      <c r="O7" s="3"/>
      <c r="P7" s="4"/>
      <c r="Q7" s="3"/>
      <c r="R7" s="4"/>
      <c r="S7" s="4"/>
    </row>
    <row r="8">
      <c r="A8" s="5" t="s">
        <v>18</v>
      </c>
      <c r="B8" s="11" t="s">
        <v>19</v>
      </c>
      <c r="C8" s="12" t="str">
        <f>IF(AND(E9/G9=1, H9/J9=1), "✔️", "❌")</f>
        <v>✔️</v>
      </c>
      <c r="D8" s="13" t="s">
        <v>7</v>
      </c>
      <c r="E8" s="13" t="s">
        <v>20</v>
      </c>
      <c r="F8" s="14"/>
      <c r="G8" s="14"/>
      <c r="H8" s="13" t="s">
        <v>21</v>
      </c>
      <c r="I8" s="14"/>
      <c r="J8" s="14"/>
      <c r="K8" s="15"/>
      <c r="L8" s="16"/>
      <c r="M8" s="16"/>
      <c r="N8" s="15"/>
      <c r="O8" s="16"/>
      <c r="P8" s="15"/>
      <c r="Q8" s="16"/>
      <c r="R8" s="15"/>
      <c r="S8" s="15"/>
    </row>
    <row r="9">
      <c r="B9" s="17"/>
      <c r="C9" s="17"/>
      <c r="D9" s="24"/>
      <c r="E9" s="19">
        <v>7.0</v>
      </c>
      <c r="F9" s="20" t="s">
        <v>10</v>
      </c>
      <c r="G9" s="21">
        <v>7.0</v>
      </c>
      <c r="H9" s="19">
        <v>16.0</v>
      </c>
      <c r="I9" s="20" t="s">
        <v>10</v>
      </c>
      <c r="J9" s="21">
        <v>16.0</v>
      </c>
      <c r="K9" s="22"/>
      <c r="L9" s="23"/>
      <c r="M9" s="23"/>
      <c r="N9" s="22"/>
      <c r="O9" s="23"/>
      <c r="P9" s="22"/>
      <c r="Q9" s="23"/>
      <c r="R9" s="22"/>
      <c r="S9" s="22"/>
    </row>
    <row r="10">
      <c r="B10" s="6" t="s">
        <v>22</v>
      </c>
      <c r="C10" s="7" t="str">
        <f>IF(AND(E11/G11=1, H11/J11=1), "✔️", "❌")</f>
        <v>✔️</v>
      </c>
      <c r="D10" s="2" t="s">
        <v>7</v>
      </c>
      <c r="E10" s="2" t="s">
        <v>23</v>
      </c>
      <c r="H10" s="2" t="s">
        <v>24</v>
      </c>
      <c r="K10" s="4"/>
      <c r="L10" s="3"/>
      <c r="M10" s="3"/>
      <c r="N10" s="4"/>
      <c r="O10" s="3"/>
      <c r="P10" s="4"/>
      <c r="Q10" s="3"/>
      <c r="R10" s="4"/>
      <c r="S10" s="4"/>
    </row>
    <row r="11">
      <c r="A11" s="5" t="s">
        <v>25</v>
      </c>
      <c r="D11" s="2"/>
      <c r="E11" s="8">
        <v>7.0</v>
      </c>
      <c r="F11" s="9" t="s">
        <v>10</v>
      </c>
      <c r="G11" s="10">
        <v>7.0</v>
      </c>
      <c r="H11" s="8">
        <v>25.0</v>
      </c>
      <c r="I11" s="9" t="s">
        <v>10</v>
      </c>
      <c r="J11" s="10">
        <v>25.0</v>
      </c>
      <c r="K11" s="4"/>
      <c r="L11" s="3"/>
      <c r="M11" s="3"/>
      <c r="N11" s="4"/>
      <c r="O11" s="3"/>
      <c r="P11" s="4"/>
      <c r="Q11" s="3"/>
      <c r="R11" s="4"/>
      <c r="S11" s="4"/>
    </row>
    <row r="12">
      <c r="B12" s="11" t="s">
        <v>26</v>
      </c>
      <c r="C12" s="12" t="str">
        <f>IF(AND(E13/G13=1, H13/J13=1), "✔️", "❌")</f>
        <v>✔️</v>
      </c>
      <c r="D12" s="13" t="s">
        <v>7</v>
      </c>
      <c r="E12" s="13" t="s">
        <v>27</v>
      </c>
      <c r="F12" s="14"/>
      <c r="G12" s="14"/>
      <c r="H12" s="13" t="s">
        <v>28</v>
      </c>
      <c r="I12" s="14"/>
      <c r="J12" s="14"/>
      <c r="K12" s="15"/>
      <c r="L12" s="16"/>
      <c r="M12" s="16"/>
      <c r="N12" s="15"/>
      <c r="O12" s="16"/>
      <c r="P12" s="15"/>
      <c r="Q12" s="16"/>
      <c r="R12" s="15"/>
      <c r="S12" s="15"/>
    </row>
    <row r="13">
      <c r="B13" s="17"/>
      <c r="C13" s="17"/>
      <c r="D13" s="24"/>
      <c r="E13" s="19">
        <v>7.0</v>
      </c>
      <c r="F13" s="20" t="s">
        <v>10</v>
      </c>
      <c r="G13" s="21">
        <v>7.0</v>
      </c>
      <c r="H13" s="19">
        <v>25.0</v>
      </c>
      <c r="I13" s="20" t="s">
        <v>10</v>
      </c>
      <c r="J13" s="21">
        <v>25.0</v>
      </c>
      <c r="K13" s="22"/>
      <c r="L13" s="23"/>
      <c r="M13" s="23"/>
      <c r="N13" s="22"/>
      <c r="O13" s="23"/>
      <c r="P13" s="22"/>
      <c r="Q13" s="23"/>
      <c r="R13" s="22"/>
      <c r="S13" s="22"/>
    </row>
    <row r="14">
      <c r="A14" s="5" t="s">
        <v>29</v>
      </c>
      <c r="B14" s="6" t="s">
        <v>30</v>
      </c>
      <c r="C14" s="7" t="str">
        <f>IF(AND(E15/G15=1, H15/J15=1), "✔️", "❌")</f>
        <v>✔️</v>
      </c>
      <c r="D14" s="2" t="s">
        <v>7</v>
      </c>
      <c r="E14" s="2" t="s">
        <v>31</v>
      </c>
      <c r="H14" s="2" t="s">
        <v>32</v>
      </c>
      <c r="K14" s="4"/>
      <c r="L14" s="3"/>
      <c r="M14" s="3"/>
      <c r="N14" s="4"/>
      <c r="O14" s="3"/>
      <c r="P14" s="4"/>
      <c r="Q14" s="3"/>
      <c r="R14" s="4"/>
      <c r="S14" s="4"/>
    </row>
    <row r="15">
      <c r="D15" s="2"/>
      <c r="E15" s="8">
        <v>5.0</v>
      </c>
      <c r="F15" s="9" t="s">
        <v>10</v>
      </c>
      <c r="G15" s="10">
        <v>5.0</v>
      </c>
      <c r="H15" s="8">
        <v>10.0</v>
      </c>
      <c r="I15" s="9" t="s">
        <v>10</v>
      </c>
      <c r="J15" s="10">
        <v>10.0</v>
      </c>
      <c r="K15" s="4"/>
      <c r="L15" s="3"/>
      <c r="M15" s="3"/>
      <c r="N15" s="4"/>
      <c r="O15" s="3"/>
      <c r="P15" s="4"/>
      <c r="Q15" s="3"/>
      <c r="R15" s="4"/>
      <c r="S15" s="4"/>
    </row>
    <row r="16">
      <c r="B16" s="11" t="s">
        <v>33</v>
      </c>
      <c r="C16" s="12" t="str">
        <f>IF(AND(E17/G17=1, H17/J17=1), "✔️", "❌")</f>
        <v>✔️</v>
      </c>
      <c r="D16" s="13" t="s">
        <v>7</v>
      </c>
      <c r="E16" s="13" t="s">
        <v>12</v>
      </c>
      <c r="F16" s="14"/>
      <c r="G16" s="14"/>
      <c r="H16" s="13" t="s">
        <v>34</v>
      </c>
      <c r="I16" s="14"/>
      <c r="J16" s="14"/>
      <c r="K16" s="15"/>
      <c r="L16" s="16"/>
      <c r="M16" s="16"/>
      <c r="N16" s="15"/>
      <c r="O16" s="16"/>
      <c r="P16" s="15"/>
      <c r="Q16" s="16"/>
      <c r="R16" s="15"/>
      <c r="S16" s="15"/>
    </row>
    <row r="17">
      <c r="A17" s="5" t="s">
        <v>35</v>
      </c>
      <c r="B17" s="17"/>
      <c r="C17" s="17"/>
      <c r="D17" s="24"/>
      <c r="E17" s="19">
        <v>7.0</v>
      </c>
      <c r="F17" s="20" t="s">
        <v>10</v>
      </c>
      <c r="G17" s="21">
        <v>7.0</v>
      </c>
      <c r="H17" s="19">
        <v>10.0</v>
      </c>
      <c r="I17" s="20" t="s">
        <v>10</v>
      </c>
      <c r="J17" s="21">
        <v>10.0</v>
      </c>
      <c r="K17" s="22"/>
      <c r="L17" s="23"/>
      <c r="M17" s="23"/>
      <c r="N17" s="22"/>
      <c r="O17" s="23"/>
      <c r="P17" s="22"/>
      <c r="Q17" s="23"/>
      <c r="R17" s="22"/>
      <c r="S17" s="22"/>
    </row>
    <row r="18">
      <c r="B18" s="6" t="s">
        <v>36</v>
      </c>
      <c r="C18" s="7" t="str">
        <f>IF(AND(E19/G19=1, H19/J19=1), "✔️", "❌")</f>
        <v>✔️</v>
      </c>
      <c r="D18" s="2" t="s">
        <v>7</v>
      </c>
      <c r="E18" s="2" t="s">
        <v>37</v>
      </c>
      <c r="H18" s="2" t="s">
        <v>38</v>
      </c>
      <c r="K18" s="4"/>
      <c r="L18" s="3"/>
      <c r="M18" s="3"/>
      <c r="N18" s="4"/>
      <c r="O18" s="3"/>
      <c r="P18" s="4"/>
      <c r="Q18" s="3"/>
      <c r="R18" s="4"/>
      <c r="S18" s="4"/>
    </row>
    <row r="19">
      <c r="A19" s="17"/>
      <c r="D19" s="2"/>
      <c r="E19" s="8">
        <v>7.0</v>
      </c>
      <c r="F19" s="9" t="s">
        <v>10</v>
      </c>
      <c r="G19" s="10">
        <v>7.0</v>
      </c>
      <c r="H19" s="8">
        <v>10.0</v>
      </c>
      <c r="I19" s="9" t="s">
        <v>10</v>
      </c>
      <c r="J19" s="10">
        <v>10.0</v>
      </c>
      <c r="K19" s="4"/>
      <c r="L19" s="3"/>
      <c r="M19" s="3"/>
      <c r="N19" s="4"/>
      <c r="O19" s="3"/>
      <c r="P19" s="4"/>
      <c r="Q19" s="3"/>
      <c r="R19" s="4"/>
      <c r="S19" s="4"/>
    </row>
    <row r="20">
      <c r="A20" s="25">
        <f>COUNTIF(C2:C80, "✔️")</f>
        <v>35</v>
      </c>
      <c r="B20" s="11" t="s">
        <v>39</v>
      </c>
      <c r="C20" s="12" t="str">
        <f>IF(AND(E21/G21=1, H21/J21=1), "✔️", "❌")</f>
        <v>✔️</v>
      </c>
      <c r="D20" s="13" t="s">
        <v>7</v>
      </c>
      <c r="E20" s="13" t="s">
        <v>40</v>
      </c>
      <c r="F20" s="14"/>
      <c r="G20" s="14"/>
      <c r="H20" s="13" t="s">
        <v>41</v>
      </c>
      <c r="I20" s="14"/>
      <c r="J20" s="14"/>
      <c r="K20" s="15"/>
      <c r="L20" s="16"/>
      <c r="M20" s="16"/>
      <c r="N20" s="15"/>
      <c r="O20" s="16"/>
      <c r="P20" s="15"/>
      <c r="Q20" s="16"/>
      <c r="R20" s="15"/>
      <c r="S20" s="15"/>
    </row>
    <row r="21">
      <c r="A21" s="26" t="s">
        <v>10</v>
      </c>
      <c r="B21" s="17"/>
      <c r="C21" s="17"/>
      <c r="D21" s="24"/>
      <c r="E21" s="19">
        <v>7.0</v>
      </c>
      <c r="F21" s="20" t="s">
        <v>10</v>
      </c>
      <c r="G21" s="21">
        <v>7.0</v>
      </c>
      <c r="H21" s="19">
        <v>10.0</v>
      </c>
      <c r="I21" s="20" t="s">
        <v>10</v>
      </c>
      <c r="J21" s="21">
        <v>10.0</v>
      </c>
      <c r="K21" s="22"/>
      <c r="L21" s="23"/>
      <c r="M21" s="23"/>
      <c r="N21" s="22"/>
      <c r="O21" s="23"/>
      <c r="P21" s="22"/>
      <c r="Q21" s="23"/>
      <c r="R21" s="22"/>
      <c r="S21" s="22"/>
    </row>
    <row r="22">
      <c r="B22" s="6" t="s">
        <v>42</v>
      </c>
      <c r="C22" s="7" t="str">
        <f>IF(AND(E23/G23=1, H23/J23=1), "✔️", "❌")</f>
        <v>✔️</v>
      </c>
      <c r="D22" s="2" t="s">
        <v>7</v>
      </c>
      <c r="E22" s="2" t="s">
        <v>43</v>
      </c>
      <c r="H22" s="2" t="s">
        <v>44</v>
      </c>
      <c r="K22" s="4"/>
      <c r="L22" s="3"/>
      <c r="M22" s="3"/>
      <c r="N22" s="4"/>
      <c r="O22" s="3"/>
      <c r="P22" s="4"/>
      <c r="Q22" s="3"/>
      <c r="R22" s="4"/>
      <c r="S22" s="4"/>
    </row>
    <row r="23">
      <c r="A23" s="27">
        <v>40.0</v>
      </c>
      <c r="D23" s="2"/>
      <c r="E23" s="8">
        <v>20.0</v>
      </c>
      <c r="F23" s="9" t="s">
        <v>10</v>
      </c>
      <c r="G23" s="10">
        <v>20.0</v>
      </c>
      <c r="H23" s="8">
        <v>10.0</v>
      </c>
      <c r="I23" s="9" t="s">
        <v>10</v>
      </c>
      <c r="J23" s="10">
        <v>10.0</v>
      </c>
      <c r="K23" s="4"/>
      <c r="L23" s="3"/>
      <c r="M23" s="3"/>
      <c r="N23" s="4"/>
      <c r="O23" s="3"/>
      <c r="P23" s="4"/>
      <c r="Q23" s="3"/>
      <c r="R23" s="4"/>
      <c r="S23" s="4"/>
    </row>
    <row r="24">
      <c r="A24" s="1"/>
      <c r="B24" s="11" t="s">
        <v>45</v>
      </c>
      <c r="C24" s="12" t="str">
        <f>IF(AND(E25/G25=1, H25/J25=1), "✔️", "❌")</f>
        <v>❌</v>
      </c>
      <c r="D24" s="13" t="s">
        <v>7</v>
      </c>
      <c r="E24" s="13" t="s">
        <v>46</v>
      </c>
      <c r="F24" s="14"/>
      <c r="G24" s="14"/>
      <c r="H24" s="13" t="s">
        <v>47</v>
      </c>
      <c r="I24" s="14"/>
      <c r="J24" s="14"/>
      <c r="K24" s="15"/>
      <c r="L24" s="16"/>
      <c r="M24" s="16"/>
      <c r="N24" s="15"/>
      <c r="O24" s="16"/>
      <c r="P24" s="15"/>
      <c r="Q24" s="16"/>
      <c r="R24" s="15"/>
      <c r="S24" s="15"/>
    </row>
    <row r="25">
      <c r="A25" s="1"/>
      <c r="B25" s="17"/>
      <c r="C25" s="17"/>
      <c r="D25" s="24"/>
      <c r="E25" s="19">
        <v>4.0</v>
      </c>
      <c r="F25" s="20" t="s">
        <v>10</v>
      </c>
      <c r="G25" s="21">
        <v>10.0</v>
      </c>
      <c r="H25" s="19">
        <v>10.0</v>
      </c>
      <c r="I25" s="20" t="s">
        <v>10</v>
      </c>
      <c r="J25" s="21">
        <v>10.0</v>
      </c>
      <c r="K25" s="22"/>
      <c r="L25" s="23"/>
      <c r="M25" s="23"/>
      <c r="N25" s="22"/>
      <c r="O25" s="23"/>
      <c r="P25" s="22"/>
      <c r="Q25" s="23"/>
      <c r="R25" s="22"/>
      <c r="S25" s="22"/>
    </row>
    <row r="26">
      <c r="A26" s="1"/>
      <c r="B26" s="6" t="s">
        <v>48</v>
      </c>
      <c r="C26" s="7" t="str">
        <f>IF(AND(E27/G27=1, H27/J27=1), "✔️", "❌")</f>
        <v>❌</v>
      </c>
      <c r="D26" s="2" t="s">
        <v>7</v>
      </c>
      <c r="E26" s="2" t="s">
        <v>49</v>
      </c>
      <c r="H26" s="2" t="s">
        <v>50</v>
      </c>
      <c r="K26" s="4"/>
      <c r="L26" s="3"/>
      <c r="M26" s="3"/>
      <c r="N26" s="4"/>
      <c r="O26" s="3"/>
      <c r="P26" s="4"/>
      <c r="Q26" s="3"/>
      <c r="R26" s="4"/>
      <c r="S26" s="4"/>
    </row>
    <row r="27">
      <c r="A27" s="1"/>
      <c r="D27" s="2"/>
      <c r="E27" s="8">
        <v>0.0</v>
      </c>
      <c r="F27" s="9" t="s">
        <v>10</v>
      </c>
      <c r="G27" s="10">
        <v>20.0</v>
      </c>
      <c r="H27" s="8">
        <v>0.0</v>
      </c>
      <c r="I27" s="9" t="s">
        <v>10</v>
      </c>
      <c r="J27" s="10">
        <v>10.0</v>
      </c>
      <c r="K27" s="4"/>
      <c r="L27" s="3"/>
      <c r="M27" s="3"/>
      <c r="N27" s="4"/>
      <c r="O27" s="3"/>
      <c r="P27" s="4"/>
      <c r="Q27" s="3"/>
      <c r="R27" s="4"/>
      <c r="S27" s="4"/>
    </row>
    <row r="28">
      <c r="A28" s="1"/>
      <c r="B28" s="11" t="s">
        <v>51</v>
      </c>
      <c r="C28" s="12" t="str">
        <f>IF(AND(E29/G29=1, H29/J29=1), "✔️", "❌")</f>
        <v>❌</v>
      </c>
      <c r="D28" s="13" t="s">
        <v>7</v>
      </c>
      <c r="E28" s="13" t="s">
        <v>52</v>
      </c>
      <c r="F28" s="14"/>
      <c r="G28" s="14"/>
      <c r="H28" s="13" t="s">
        <v>53</v>
      </c>
      <c r="I28" s="14"/>
      <c r="J28" s="14"/>
      <c r="K28" s="15"/>
      <c r="L28" s="16"/>
      <c r="M28" s="16"/>
      <c r="N28" s="15"/>
      <c r="O28" s="16"/>
      <c r="P28" s="15"/>
      <c r="Q28" s="16"/>
      <c r="R28" s="15"/>
      <c r="S28" s="15"/>
    </row>
    <row r="29">
      <c r="A29" s="1"/>
      <c r="B29" s="17"/>
      <c r="C29" s="17"/>
      <c r="D29" s="24"/>
      <c r="E29" s="19">
        <v>0.0</v>
      </c>
      <c r="F29" s="20" t="s">
        <v>10</v>
      </c>
      <c r="G29" s="21">
        <v>10.0</v>
      </c>
      <c r="H29" s="19">
        <v>10.0</v>
      </c>
      <c r="I29" s="20" t="s">
        <v>10</v>
      </c>
      <c r="J29" s="21">
        <v>10.0</v>
      </c>
      <c r="K29" s="22"/>
      <c r="L29" s="23"/>
      <c r="M29" s="23"/>
      <c r="N29" s="22"/>
      <c r="O29" s="23"/>
      <c r="P29" s="22"/>
      <c r="Q29" s="23"/>
      <c r="R29" s="22"/>
      <c r="S29" s="22"/>
    </row>
    <row r="30">
      <c r="A30" s="1"/>
      <c r="B30" s="6" t="s">
        <v>54</v>
      </c>
      <c r="C30" s="7" t="str">
        <f>IF(AND(E31/G31=1, H31/J31=1), "✔️", "❌")</f>
        <v>❌</v>
      </c>
      <c r="D30" s="2" t="s">
        <v>7</v>
      </c>
      <c r="E30" s="2" t="s">
        <v>55</v>
      </c>
      <c r="H30" s="2" t="s">
        <v>56</v>
      </c>
      <c r="K30" s="4"/>
      <c r="L30" s="3"/>
      <c r="M30" s="3"/>
      <c r="N30" s="4"/>
      <c r="O30" s="3"/>
      <c r="P30" s="4"/>
      <c r="Q30" s="3"/>
      <c r="R30" s="4"/>
      <c r="S30" s="4"/>
    </row>
    <row r="31">
      <c r="A31" s="1"/>
      <c r="D31" s="2"/>
      <c r="E31" s="8">
        <v>5.0</v>
      </c>
      <c r="F31" s="9" t="s">
        <v>10</v>
      </c>
      <c r="G31" s="10">
        <v>5.0</v>
      </c>
      <c r="H31" s="8">
        <v>0.0</v>
      </c>
      <c r="I31" s="9" t="s">
        <v>10</v>
      </c>
      <c r="J31" s="10">
        <v>10.0</v>
      </c>
      <c r="K31" s="4"/>
      <c r="L31" s="3"/>
      <c r="M31" s="3"/>
      <c r="N31" s="4"/>
      <c r="O31" s="3"/>
      <c r="P31" s="4"/>
      <c r="Q31" s="3"/>
      <c r="R31" s="4"/>
      <c r="S31" s="4"/>
    </row>
    <row r="32">
      <c r="A32" s="1"/>
      <c r="B32" s="11" t="s">
        <v>57</v>
      </c>
      <c r="C32" s="12" t="str">
        <f>IF(E33/G33=1, "✔️", "❌")</f>
        <v>✔️</v>
      </c>
      <c r="D32" s="13"/>
      <c r="E32" s="13" t="s">
        <v>58</v>
      </c>
      <c r="F32" s="14"/>
      <c r="G32" s="14"/>
      <c r="H32" s="15"/>
      <c r="I32" s="16"/>
      <c r="J32" s="16"/>
      <c r="K32" s="15"/>
      <c r="L32" s="16"/>
      <c r="M32" s="16"/>
      <c r="N32" s="15"/>
      <c r="O32" s="16"/>
      <c r="P32" s="15"/>
      <c r="Q32" s="16"/>
      <c r="R32" s="15"/>
      <c r="S32" s="15"/>
    </row>
    <row r="33">
      <c r="A33" s="1"/>
      <c r="B33" s="17"/>
      <c r="C33" s="17"/>
      <c r="D33" s="24"/>
      <c r="E33" s="19">
        <v>5.0</v>
      </c>
      <c r="F33" s="20" t="s">
        <v>10</v>
      </c>
      <c r="G33" s="21">
        <v>5.0</v>
      </c>
      <c r="H33" s="28"/>
      <c r="I33" s="24"/>
      <c r="J33" s="24"/>
      <c r="K33" s="22"/>
      <c r="L33" s="23"/>
      <c r="M33" s="23"/>
      <c r="N33" s="22"/>
      <c r="O33" s="23"/>
      <c r="P33" s="22"/>
      <c r="Q33" s="23"/>
      <c r="R33" s="22"/>
      <c r="S33" s="22"/>
    </row>
    <row r="34">
      <c r="A34" s="1"/>
      <c r="B34" s="6" t="s">
        <v>59</v>
      </c>
      <c r="C34" s="7" t="str">
        <f>IF(AND(E35/G35=1, H35/J35=1), "✔️", "❌")</f>
        <v>✔️</v>
      </c>
      <c r="D34" s="2"/>
      <c r="E34" s="2" t="s">
        <v>60</v>
      </c>
      <c r="H34" s="2" t="s">
        <v>61</v>
      </c>
      <c r="K34" s="4"/>
      <c r="L34" s="3"/>
      <c r="M34" s="3"/>
      <c r="N34" s="4"/>
      <c r="O34" s="3"/>
      <c r="P34" s="4"/>
      <c r="Q34" s="3"/>
      <c r="R34" s="4"/>
      <c r="S34" s="4"/>
    </row>
    <row r="35">
      <c r="A35" s="1"/>
      <c r="D35" s="2"/>
      <c r="E35" s="8">
        <v>1.0</v>
      </c>
      <c r="F35" s="9" t="s">
        <v>10</v>
      </c>
      <c r="G35" s="10">
        <v>1.0</v>
      </c>
      <c r="H35" s="8">
        <v>1.0</v>
      </c>
      <c r="I35" s="9" t="s">
        <v>10</v>
      </c>
      <c r="J35" s="10">
        <v>1.0</v>
      </c>
      <c r="K35" s="1"/>
      <c r="L35" s="29"/>
      <c r="M35" s="29"/>
      <c r="N35" s="4"/>
      <c r="O35" s="3"/>
      <c r="P35" s="4"/>
      <c r="Q35" s="3"/>
      <c r="R35" s="4"/>
      <c r="S35" s="4"/>
    </row>
    <row r="36">
      <c r="A36" s="1"/>
      <c r="B36" s="11" t="s">
        <v>62</v>
      </c>
      <c r="C36" s="12" t="str">
        <f>IF(AND(E37/G37=1, H37/J37=1, K37/M37), "✔️", "❌")</f>
        <v>✔️</v>
      </c>
      <c r="D36" s="13"/>
      <c r="E36" s="13" t="s">
        <v>63</v>
      </c>
      <c r="F36" s="14"/>
      <c r="G36" s="14"/>
      <c r="H36" s="13" t="s">
        <v>64</v>
      </c>
      <c r="I36" s="14"/>
      <c r="J36" s="14"/>
      <c r="K36" s="13" t="s">
        <v>65</v>
      </c>
      <c r="L36" s="14"/>
      <c r="M36" s="14"/>
      <c r="N36" s="30"/>
      <c r="O36" s="16"/>
      <c r="P36" s="15"/>
      <c r="Q36" s="16"/>
      <c r="R36" s="15"/>
      <c r="S36" s="15"/>
    </row>
    <row r="37">
      <c r="A37" s="1"/>
      <c r="B37" s="17"/>
      <c r="C37" s="17"/>
      <c r="D37" s="24"/>
      <c r="E37" s="19">
        <v>1.0</v>
      </c>
      <c r="F37" s="20" t="s">
        <v>10</v>
      </c>
      <c r="G37" s="21">
        <v>1.0</v>
      </c>
      <c r="H37" s="19">
        <v>2.0</v>
      </c>
      <c r="I37" s="20" t="s">
        <v>10</v>
      </c>
      <c r="J37" s="21">
        <v>2.0</v>
      </c>
      <c r="K37" s="19">
        <v>10.0</v>
      </c>
      <c r="L37" s="20" t="s">
        <v>10</v>
      </c>
      <c r="M37" s="21">
        <v>10.0</v>
      </c>
      <c r="N37" s="31"/>
      <c r="O37" s="23"/>
      <c r="P37" s="22"/>
      <c r="Q37" s="23"/>
      <c r="R37" s="22"/>
      <c r="S37" s="22"/>
    </row>
    <row r="38">
      <c r="A38" s="1"/>
      <c r="B38" s="6" t="s">
        <v>66</v>
      </c>
      <c r="C38" s="7" t="str">
        <f>IF(AND(E39/G39=1, H39/J39=1), "✔️", "❌")</f>
        <v>✔️</v>
      </c>
      <c r="D38" s="2"/>
      <c r="E38" s="2" t="s">
        <v>67</v>
      </c>
      <c r="H38" s="2" t="s">
        <v>68</v>
      </c>
      <c r="K38" s="4"/>
      <c r="L38" s="3"/>
      <c r="M38" s="3"/>
      <c r="N38" s="4"/>
      <c r="O38" s="3"/>
      <c r="P38" s="4"/>
      <c r="Q38" s="3"/>
      <c r="R38" s="4"/>
      <c r="S38" s="4"/>
    </row>
    <row r="39">
      <c r="A39" s="1"/>
      <c r="D39" s="2"/>
      <c r="E39" s="8">
        <v>600.0</v>
      </c>
      <c r="F39" s="9" t="s">
        <v>10</v>
      </c>
      <c r="G39" s="10">
        <v>600.0</v>
      </c>
      <c r="H39" s="8">
        <v>10.0</v>
      </c>
      <c r="I39" s="9" t="s">
        <v>10</v>
      </c>
      <c r="J39" s="10">
        <v>10.0</v>
      </c>
      <c r="K39" s="4"/>
      <c r="L39" s="3"/>
      <c r="M39" s="3"/>
      <c r="N39" s="4"/>
      <c r="O39" s="3"/>
      <c r="P39" s="4"/>
      <c r="Q39" s="3"/>
      <c r="R39" s="4"/>
      <c r="S39" s="4"/>
    </row>
    <row r="40">
      <c r="A40" s="1"/>
      <c r="B40" s="11" t="s">
        <v>69</v>
      </c>
      <c r="C40" s="12" t="str">
        <f>IF(AND(E41/G41=1, H41/J41=1), "✔️", "❌")</f>
        <v>✔️</v>
      </c>
      <c r="D40" s="13"/>
      <c r="E40" s="13" t="s">
        <v>70</v>
      </c>
      <c r="F40" s="14"/>
      <c r="G40" s="14"/>
      <c r="H40" s="13" t="s">
        <v>71</v>
      </c>
      <c r="I40" s="14"/>
      <c r="J40" s="14"/>
      <c r="K40" s="15"/>
      <c r="L40" s="16"/>
      <c r="M40" s="16"/>
      <c r="N40" s="15"/>
      <c r="O40" s="16"/>
      <c r="P40" s="15"/>
      <c r="Q40" s="16"/>
      <c r="R40" s="15"/>
      <c r="S40" s="15"/>
    </row>
    <row r="41">
      <c r="A41" s="1"/>
      <c r="B41" s="17"/>
      <c r="C41" s="17"/>
      <c r="D41" s="24"/>
      <c r="E41" s="19">
        <v>1.0</v>
      </c>
      <c r="F41" s="20" t="s">
        <v>10</v>
      </c>
      <c r="G41" s="21">
        <v>1.0</v>
      </c>
      <c r="H41" s="19">
        <v>5.0</v>
      </c>
      <c r="I41" s="20" t="s">
        <v>10</v>
      </c>
      <c r="J41" s="21">
        <v>5.0</v>
      </c>
      <c r="K41" s="22"/>
      <c r="L41" s="23"/>
      <c r="M41" s="23"/>
      <c r="N41" s="22"/>
      <c r="O41" s="23"/>
      <c r="P41" s="22"/>
      <c r="Q41" s="23"/>
      <c r="R41" s="22"/>
      <c r="S41" s="22"/>
    </row>
    <row r="42">
      <c r="A42" s="1"/>
      <c r="B42" s="6" t="s">
        <v>72</v>
      </c>
      <c r="C42" s="7" t="str">
        <f>IF(AND(E43/G43=1, H43/J43=1), "✔️", "❌")</f>
        <v>✔️</v>
      </c>
      <c r="D42" s="2"/>
      <c r="E42" s="2" t="s">
        <v>73</v>
      </c>
      <c r="H42" s="2" t="s">
        <v>74</v>
      </c>
      <c r="K42" s="4"/>
      <c r="L42" s="3"/>
      <c r="M42" s="3"/>
      <c r="N42" s="4"/>
      <c r="O42" s="3"/>
      <c r="P42" s="4"/>
      <c r="Q42" s="3"/>
      <c r="R42" s="4"/>
      <c r="S42" s="4"/>
    </row>
    <row r="43">
      <c r="A43" s="1"/>
      <c r="D43" s="2"/>
      <c r="E43" s="8">
        <v>1.0</v>
      </c>
      <c r="F43" s="9" t="s">
        <v>10</v>
      </c>
      <c r="G43" s="10">
        <v>1.0</v>
      </c>
      <c r="H43" s="8">
        <v>5.0</v>
      </c>
      <c r="I43" s="9" t="s">
        <v>10</v>
      </c>
      <c r="J43" s="10">
        <v>5.0</v>
      </c>
      <c r="K43" s="4"/>
      <c r="L43" s="3"/>
      <c r="M43" s="3"/>
      <c r="N43" s="4"/>
      <c r="O43" s="3"/>
      <c r="P43" s="4"/>
      <c r="Q43" s="3"/>
      <c r="R43" s="4"/>
      <c r="S43" s="4"/>
    </row>
    <row r="44">
      <c r="A44" s="1"/>
      <c r="B44" s="11" t="s">
        <v>75</v>
      </c>
      <c r="C44" s="12" t="str">
        <f>IF(E45/G45=1, "✔️", "❌")</f>
        <v>❌</v>
      </c>
      <c r="D44" s="13"/>
      <c r="E44" s="13" t="s">
        <v>76</v>
      </c>
      <c r="F44" s="14"/>
      <c r="G44" s="14"/>
      <c r="H44" s="15"/>
      <c r="I44" s="16"/>
      <c r="J44" s="16"/>
      <c r="K44" s="15"/>
      <c r="L44" s="16"/>
      <c r="M44" s="16"/>
      <c r="N44" s="15"/>
      <c r="O44" s="16"/>
      <c r="P44" s="15"/>
      <c r="Q44" s="16"/>
      <c r="R44" s="15"/>
      <c r="S44" s="15"/>
    </row>
    <row r="45">
      <c r="A45" s="1"/>
      <c r="B45" s="17"/>
      <c r="C45" s="17"/>
      <c r="D45" s="24"/>
      <c r="E45" s="19">
        <v>0.0</v>
      </c>
      <c r="F45" s="20" t="s">
        <v>10</v>
      </c>
      <c r="G45" s="21">
        <v>1.0</v>
      </c>
      <c r="H45" s="28"/>
      <c r="I45" s="24"/>
      <c r="J45" s="24"/>
      <c r="K45" s="22"/>
      <c r="L45" s="23"/>
      <c r="M45" s="23"/>
      <c r="N45" s="22"/>
      <c r="O45" s="23"/>
      <c r="P45" s="22"/>
      <c r="Q45" s="23"/>
      <c r="R45" s="22"/>
      <c r="S45" s="22"/>
    </row>
    <row r="46">
      <c r="A46" s="1"/>
      <c r="B46" s="6" t="s">
        <v>77</v>
      </c>
      <c r="C46" s="7" t="str">
        <f>IF(AND(E47/G47=1, H47/J47=1), "✔️", "❌")</f>
        <v>✔️</v>
      </c>
      <c r="D46" s="2"/>
      <c r="E46" s="2" t="s">
        <v>78</v>
      </c>
      <c r="H46" s="2" t="s">
        <v>79</v>
      </c>
      <c r="K46" s="4"/>
      <c r="L46" s="3"/>
      <c r="M46" s="3"/>
      <c r="N46" s="4"/>
      <c r="O46" s="3"/>
      <c r="P46" s="4"/>
      <c r="Q46" s="3"/>
      <c r="R46" s="4"/>
      <c r="S46" s="4"/>
    </row>
    <row r="47">
      <c r="A47" s="1"/>
      <c r="D47" s="2"/>
      <c r="E47" s="8">
        <v>1.0</v>
      </c>
      <c r="F47" s="9" t="s">
        <v>10</v>
      </c>
      <c r="G47" s="10">
        <v>1.0</v>
      </c>
      <c r="H47" s="8">
        <v>3.0</v>
      </c>
      <c r="I47" s="9" t="s">
        <v>10</v>
      </c>
      <c r="J47" s="10">
        <v>3.0</v>
      </c>
      <c r="K47" s="1"/>
      <c r="L47" s="29"/>
      <c r="M47" s="29"/>
      <c r="N47" s="1"/>
      <c r="O47" s="29"/>
      <c r="P47" s="4"/>
      <c r="Q47" s="3"/>
      <c r="R47" s="4"/>
      <c r="S47" s="4"/>
    </row>
    <row r="48">
      <c r="A48" s="1"/>
      <c r="B48" s="11" t="s">
        <v>80</v>
      </c>
      <c r="C48" s="12" t="str">
        <f>IF(AND(E49/G49=1, H49/J49=1, K49/M49=1, N49/P49=1), "✔️", "❌")</f>
        <v>✔️</v>
      </c>
      <c r="D48" s="13"/>
      <c r="E48" s="13" t="s">
        <v>81</v>
      </c>
      <c r="F48" s="14"/>
      <c r="G48" s="14"/>
      <c r="H48" s="13" t="s">
        <v>82</v>
      </c>
      <c r="I48" s="14"/>
      <c r="J48" s="14"/>
      <c r="K48" s="13" t="s">
        <v>83</v>
      </c>
      <c r="L48" s="14"/>
      <c r="M48" s="14"/>
      <c r="N48" s="13" t="s">
        <v>84</v>
      </c>
      <c r="O48" s="14"/>
      <c r="P48" s="14"/>
      <c r="Q48" s="16"/>
      <c r="R48" s="15"/>
      <c r="S48" s="15"/>
    </row>
    <row r="49">
      <c r="A49" s="1"/>
      <c r="B49" s="17"/>
      <c r="C49" s="17"/>
      <c r="D49" s="24"/>
      <c r="E49" s="19">
        <v>3.0</v>
      </c>
      <c r="F49" s="20" t="s">
        <v>10</v>
      </c>
      <c r="G49" s="21">
        <v>3.0</v>
      </c>
      <c r="H49" s="19">
        <v>1.0</v>
      </c>
      <c r="I49" s="20" t="s">
        <v>10</v>
      </c>
      <c r="J49" s="21">
        <v>1.0</v>
      </c>
      <c r="K49" s="28">
        <v>1.0</v>
      </c>
      <c r="L49" s="20" t="s">
        <v>10</v>
      </c>
      <c r="M49" s="21">
        <v>1.0</v>
      </c>
      <c r="N49" s="28">
        <v>1.0</v>
      </c>
      <c r="O49" s="20" t="s">
        <v>10</v>
      </c>
      <c r="P49" s="21">
        <v>1.0</v>
      </c>
      <c r="Q49" s="23"/>
      <c r="R49" s="22"/>
      <c r="S49" s="22"/>
    </row>
    <row r="50">
      <c r="A50" s="1"/>
      <c r="B50" s="6" t="s">
        <v>85</v>
      </c>
      <c r="C50" s="7" t="str">
        <f>IF(AND(E51/G51=1, H51/J51=1), "✔️", "❌")</f>
        <v>✔️</v>
      </c>
      <c r="D50" s="2"/>
      <c r="E50" s="2" t="s">
        <v>86</v>
      </c>
      <c r="H50" s="2" t="s">
        <v>87</v>
      </c>
      <c r="K50" s="4"/>
      <c r="L50" s="3"/>
      <c r="M50" s="3"/>
      <c r="N50" s="4"/>
      <c r="O50" s="3"/>
      <c r="P50" s="4"/>
      <c r="Q50" s="3"/>
      <c r="R50" s="4"/>
      <c r="S50" s="4"/>
    </row>
    <row r="51">
      <c r="A51" s="1"/>
      <c r="D51" s="2"/>
      <c r="E51" s="8">
        <v>1.0</v>
      </c>
      <c r="F51" s="9" t="s">
        <v>10</v>
      </c>
      <c r="G51" s="10">
        <v>1.0</v>
      </c>
      <c r="H51" s="8">
        <v>3.0</v>
      </c>
      <c r="I51" s="9" t="s">
        <v>10</v>
      </c>
      <c r="J51" s="10">
        <v>3.0</v>
      </c>
      <c r="K51" s="4"/>
      <c r="L51" s="3"/>
      <c r="M51" s="3"/>
      <c r="N51" s="4"/>
      <c r="O51" s="3"/>
      <c r="P51" s="4"/>
      <c r="Q51" s="3"/>
      <c r="R51" s="4"/>
      <c r="S51" s="4"/>
    </row>
    <row r="52">
      <c r="A52" s="1"/>
      <c r="B52" s="11" t="s">
        <v>88</v>
      </c>
      <c r="C52" s="12" t="str">
        <f>IF(AND(E53/G53=1, H53/J53=1), "✔️", "❌")</f>
        <v>✔️</v>
      </c>
      <c r="D52" s="13"/>
      <c r="E52" s="13" t="s">
        <v>89</v>
      </c>
      <c r="F52" s="14"/>
      <c r="G52" s="14"/>
      <c r="H52" s="13" t="s">
        <v>90</v>
      </c>
      <c r="I52" s="14"/>
      <c r="J52" s="14"/>
      <c r="K52" s="15"/>
      <c r="L52" s="16"/>
      <c r="M52" s="16"/>
      <c r="N52" s="15"/>
      <c r="O52" s="16"/>
      <c r="P52" s="15"/>
      <c r="Q52" s="16"/>
      <c r="R52" s="15"/>
      <c r="S52" s="15"/>
    </row>
    <row r="53">
      <c r="A53" s="1"/>
      <c r="B53" s="17"/>
      <c r="C53" s="17"/>
      <c r="D53" s="24"/>
      <c r="E53" s="19">
        <v>1.0</v>
      </c>
      <c r="F53" s="20" t="s">
        <v>10</v>
      </c>
      <c r="G53" s="21">
        <v>1.0</v>
      </c>
      <c r="H53" s="19">
        <v>3.0</v>
      </c>
      <c r="I53" s="20" t="s">
        <v>10</v>
      </c>
      <c r="J53" s="21">
        <v>3.0</v>
      </c>
      <c r="K53" s="28"/>
      <c r="L53" s="32"/>
      <c r="M53" s="32"/>
      <c r="N53" s="28"/>
      <c r="O53" s="32"/>
      <c r="P53" s="22"/>
      <c r="Q53" s="23"/>
      <c r="R53" s="22"/>
      <c r="S53" s="22"/>
    </row>
    <row r="54">
      <c r="A54" s="1"/>
      <c r="B54" s="6" t="s">
        <v>91</v>
      </c>
      <c r="C54" s="7" t="str">
        <f>IF(AND(E55/G55=1, H55/J55=1, K55/M55=1, N55/P55=1), "✔️", "❌")</f>
        <v>✔️</v>
      </c>
      <c r="D54" s="2"/>
      <c r="E54" s="2" t="s">
        <v>92</v>
      </c>
      <c r="H54" s="2" t="s">
        <v>93</v>
      </c>
      <c r="K54" s="2" t="s">
        <v>94</v>
      </c>
      <c r="N54" s="2" t="s">
        <v>95</v>
      </c>
      <c r="Q54" s="3"/>
      <c r="R54" s="4"/>
      <c r="S54" s="4"/>
    </row>
    <row r="55">
      <c r="A55" s="1"/>
      <c r="D55" s="2"/>
      <c r="E55" s="8">
        <v>3.0</v>
      </c>
      <c r="F55" s="9" t="s">
        <v>10</v>
      </c>
      <c r="G55" s="10">
        <v>3.0</v>
      </c>
      <c r="H55" s="8">
        <v>1.0</v>
      </c>
      <c r="I55" s="9" t="s">
        <v>10</v>
      </c>
      <c r="J55" s="10">
        <v>1.0</v>
      </c>
      <c r="K55" s="1">
        <v>1.0</v>
      </c>
      <c r="L55" s="9" t="s">
        <v>10</v>
      </c>
      <c r="M55" s="10">
        <v>1.0</v>
      </c>
      <c r="N55" s="1">
        <v>1.0</v>
      </c>
      <c r="O55" s="9" t="s">
        <v>10</v>
      </c>
      <c r="P55" s="10">
        <v>1.0</v>
      </c>
      <c r="Q55" s="3"/>
      <c r="R55" s="4"/>
      <c r="S55" s="4"/>
    </row>
    <row r="56">
      <c r="A56" s="1"/>
      <c r="B56" s="11" t="s">
        <v>96</v>
      </c>
      <c r="C56" s="12" t="str">
        <f>IF(E57/G57=1, "✔️", "❌")</f>
        <v>✔️</v>
      </c>
      <c r="D56" s="13"/>
      <c r="E56" s="13" t="s">
        <v>97</v>
      </c>
      <c r="F56" s="14"/>
      <c r="G56" s="14"/>
      <c r="H56" s="15"/>
      <c r="I56" s="16"/>
      <c r="J56" s="16"/>
      <c r="K56" s="15"/>
      <c r="L56" s="16"/>
      <c r="M56" s="16"/>
      <c r="N56" s="15"/>
      <c r="O56" s="16"/>
      <c r="P56" s="15"/>
      <c r="Q56" s="16"/>
      <c r="R56" s="15"/>
      <c r="S56" s="15"/>
    </row>
    <row r="57">
      <c r="A57" s="1"/>
      <c r="B57" s="17"/>
      <c r="C57" s="17"/>
      <c r="D57" s="24"/>
      <c r="E57" s="19">
        <v>1.0</v>
      </c>
      <c r="F57" s="20" t="s">
        <v>10</v>
      </c>
      <c r="G57" s="21">
        <v>1.0</v>
      </c>
      <c r="H57" s="28"/>
      <c r="I57" s="24"/>
      <c r="J57" s="24"/>
      <c r="K57" s="22"/>
      <c r="L57" s="23"/>
      <c r="M57" s="23"/>
      <c r="N57" s="22"/>
      <c r="O57" s="23"/>
      <c r="P57" s="22"/>
      <c r="Q57" s="23"/>
      <c r="R57" s="22"/>
      <c r="S57" s="22"/>
    </row>
    <row r="58">
      <c r="A58" s="1"/>
      <c r="B58" s="6" t="s">
        <v>98</v>
      </c>
      <c r="C58" s="7" t="str">
        <f>IF(AND(E59/G59=1, H59/J59=1), "✔️", "❌")</f>
        <v>✔️</v>
      </c>
      <c r="D58" s="2"/>
      <c r="E58" s="2" t="s">
        <v>81</v>
      </c>
      <c r="H58" s="2" t="s">
        <v>99</v>
      </c>
      <c r="K58" s="4"/>
      <c r="L58" s="3"/>
      <c r="M58" s="3"/>
      <c r="N58" s="4"/>
      <c r="O58" s="3"/>
      <c r="P58" s="4"/>
      <c r="Q58" s="3"/>
      <c r="R58" s="4"/>
      <c r="S58" s="4"/>
    </row>
    <row r="59">
      <c r="A59" s="1"/>
      <c r="D59" s="2"/>
      <c r="E59" s="8">
        <v>3.0</v>
      </c>
      <c r="F59" s="9" t="s">
        <v>10</v>
      </c>
      <c r="G59" s="10">
        <v>3.0</v>
      </c>
      <c r="H59" s="8">
        <v>20.0</v>
      </c>
      <c r="I59" s="9" t="s">
        <v>10</v>
      </c>
      <c r="J59" s="10">
        <v>20.0</v>
      </c>
      <c r="K59" s="4"/>
      <c r="L59" s="3"/>
      <c r="M59" s="3"/>
      <c r="N59" s="4"/>
      <c r="O59" s="3"/>
      <c r="P59" s="4"/>
      <c r="Q59" s="3"/>
      <c r="R59" s="4"/>
      <c r="S59" s="4"/>
    </row>
    <row r="60">
      <c r="A60" s="1"/>
      <c r="B60" s="11" t="s">
        <v>100</v>
      </c>
      <c r="C60" s="12" t="str">
        <f>IF(E61/G61=1, "✔️", "❌")</f>
        <v>✔️</v>
      </c>
      <c r="D60" s="13"/>
      <c r="E60" s="13" t="s">
        <v>101</v>
      </c>
      <c r="F60" s="14"/>
      <c r="G60" s="14"/>
      <c r="H60" s="15"/>
      <c r="I60" s="16"/>
      <c r="J60" s="16"/>
      <c r="K60" s="15"/>
      <c r="L60" s="16"/>
      <c r="M60" s="16"/>
      <c r="N60" s="15"/>
      <c r="O60" s="16"/>
      <c r="P60" s="15"/>
      <c r="Q60" s="16"/>
      <c r="R60" s="15"/>
      <c r="S60" s="15"/>
    </row>
    <row r="61">
      <c r="A61" s="1"/>
      <c r="B61" s="17"/>
      <c r="C61" s="17"/>
      <c r="D61" s="24"/>
      <c r="E61" s="19">
        <v>20.0</v>
      </c>
      <c r="F61" s="20" t="s">
        <v>10</v>
      </c>
      <c r="G61" s="21">
        <v>20.0</v>
      </c>
      <c r="H61" s="28"/>
      <c r="I61" s="24"/>
      <c r="J61" s="24"/>
      <c r="K61" s="22"/>
      <c r="L61" s="23"/>
      <c r="M61" s="23"/>
      <c r="N61" s="22"/>
      <c r="O61" s="23"/>
      <c r="P61" s="22"/>
      <c r="Q61" s="23"/>
      <c r="R61" s="22"/>
      <c r="S61" s="22"/>
    </row>
    <row r="62">
      <c r="A62" s="1"/>
      <c r="B62" s="6" t="s">
        <v>102</v>
      </c>
      <c r="C62" s="7" t="str">
        <f>IF(AND(E63/G63=1, H63/J63=1), "✔️", "❌")</f>
        <v>✔️</v>
      </c>
      <c r="D62" s="2"/>
      <c r="E62" s="2" t="s">
        <v>90</v>
      </c>
      <c r="H62" s="2" t="s">
        <v>103</v>
      </c>
      <c r="K62" s="4"/>
      <c r="L62" s="3"/>
      <c r="M62" s="3"/>
      <c r="N62" s="4"/>
      <c r="O62" s="3"/>
      <c r="P62" s="4"/>
      <c r="Q62" s="3"/>
      <c r="R62" s="4"/>
      <c r="S62" s="4"/>
    </row>
    <row r="63">
      <c r="A63" s="1"/>
      <c r="D63" s="2"/>
      <c r="E63" s="8">
        <v>3.0</v>
      </c>
      <c r="F63" s="9" t="s">
        <v>10</v>
      </c>
      <c r="G63" s="10">
        <v>3.0</v>
      </c>
      <c r="H63" s="8">
        <v>3.0</v>
      </c>
      <c r="I63" s="9" t="s">
        <v>10</v>
      </c>
      <c r="J63" s="10">
        <v>3.0</v>
      </c>
      <c r="K63" s="4"/>
      <c r="L63" s="3"/>
      <c r="M63" s="3"/>
      <c r="N63" s="4"/>
      <c r="O63" s="3"/>
      <c r="P63" s="4"/>
      <c r="Q63" s="3"/>
      <c r="R63" s="4"/>
      <c r="S63" s="4"/>
    </row>
    <row r="64">
      <c r="A64" s="1"/>
      <c r="B64" s="11" t="s">
        <v>104</v>
      </c>
      <c r="C64" s="12" t="str">
        <f>IF(AND(E65/G65=1, H65/J65=1), "✔️", "❌")</f>
        <v>✔️</v>
      </c>
      <c r="D64" s="13"/>
      <c r="E64" s="13" t="s">
        <v>92</v>
      </c>
      <c r="F64" s="14"/>
      <c r="G64" s="14"/>
      <c r="H64" s="13" t="s">
        <v>105</v>
      </c>
      <c r="I64" s="14"/>
      <c r="J64" s="14"/>
      <c r="K64" s="15"/>
      <c r="L64" s="16"/>
      <c r="M64" s="16"/>
      <c r="N64" s="15"/>
      <c r="O64" s="16"/>
      <c r="P64" s="15"/>
      <c r="Q64" s="16"/>
      <c r="R64" s="15"/>
      <c r="S64" s="15"/>
    </row>
    <row r="65">
      <c r="A65" s="1"/>
      <c r="B65" s="17"/>
      <c r="C65" s="17"/>
      <c r="D65" s="24"/>
      <c r="E65" s="19">
        <v>3.0</v>
      </c>
      <c r="F65" s="20" t="s">
        <v>10</v>
      </c>
      <c r="G65" s="21">
        <v>3.0</v>
      </c>
      <c r="H65" s="19">
        <v>5.0</v>
      </c>
      <c r="I65" s="20" t="s">
        <v>10</v>
      </c>
      <c r="J65" s="21">
        <v>5.0</v>
      </c>
      <c r="K65" s="22"/>
      <c r="L65" s="23"/>
      <c r="M65" s="23"/>
      <c r="N65" s="22"/>
      <c r="O65" s="23"/>
      <c r="P65" s="22"/>
      <c r="Q65" s="23"/>
      <c r="R65" s="22"/>
      <c r="S65" s="22"/>
    </row>
    <row r="66">
      <c r="A66" s="1"/>
      <c r="B66" s="6" t="s">
        <v>106</v>
      </c>
      <c r="C66" s="7" t="str">
        <f>IF(AND(E67/G67=1, H67/J67=1), "✔️", "❌")</f>
        <v>✔️</v>
      </c>
      <c r="D66" s="2"/>
      <c r="E66" s="2" t="s">
        <v>107</v>
      </c>
      <c r="H66" s="2" t="s">
        <v>108</v>
      </c>
      <c r="K66" s="4"/>
      <c r="L66" s="3"/>
      <c r="M66" s="3"/>
      <c r="N66" s="4"/>
      <c r="O66" s="3"/>
      <c r="P66" s="4"/>
      <c r="Q66" s="3"/>
      <c r="R66" s="4"/>
      <c r="S66" s="4"/>
    </row>
    <row r="67">
      <c r="A67" s="1"/>
      <c r="D67" s="2"/>
      <c r="E67" s="8">
        <v>1.0</v>
      </c>
      <c r="F67" s="9" t="s">
        <v>10</v>
      </c>
      <c r="G67" s="10">
        <v>1.0</v>
      </c>
      <c r="H67" s="8">
        <v>5.0</v>
      </c>
      <c r="I67" s="9" t="s">
        <v>10</v>
      </c>
      <c r="J67" s="10">
        <v>5.0</v>
      </c>
      <c r="K67" s="1"/>
      <c r="L67" s="29"/>
      <c r="M67" s="29"/>
      <c r="N67" s="4"/>
      <c r="O67" s="3"/>
      <c r="P67" s="4"/>
      <c r="Q67" s="3"/>
      <c r="R67" s="4"/>
      <c r="S67" s="4"/>
    </row>
    <row r="68">
      <c r="A68" s="1"/>
      <c r="B68" s="11" t="s">
        <v>109</v>
      </c>
      <c r="C68" s="12" t="str">
        <f>IF(AND(E69/G69=1, H69/J69=1, K69/M69=1), "✔️", "❌")</f>
        <v>✔️</v>
      </c>
      <c r="D68" s="13"/>
      <c r="E68" s="13" t="s">
        <v>110</v>
      </c>
      <c r="F68" s="14"/>
      <c r="G68" s="14"/>
      <c r="H68" s="13" t="s">
        <v>111</v>
      </c>
      <c r="I68" s="14"/>
      <c r="J68" s="14"/>
      <c r="K68" s="13" t="s">
        <v>112</v>
      </c>
      <c r="L68" s="14"/>
      <c r="M68" s="14"/>
      <c r="N68" s="15"/>
      <c r="O68" s="16"/>
      <c r="P68" s="15"/>
      <c r="Q68" s="16"/>
      <c r="R68" s="15"/>
      <c r="S68" s="15"/>
    </row>
    <row r="69">
      <c r="A69" s="1"/>
      <c r="B69" s="17"/>
      <c r="C69" s="17"/>
      <c r="D69" s="24"/>
      <c r="E69" s="19">
        <v>10.0</v>
      </c>
      <c r="F69" s="20" t="s">
        <v>10</v>
      </c>
      <c r="G69" s="21">
        <v>10.0</v>
      </c>
      <c r="H69" s="19">
        <v>10.0</v>
      </c>
      <c r="I69" s="20" t="s">
        <v>10</v>
      </c>
      <c r="J69" s="21">
        <v>10.0</v>
      </c>
      <c r="K69" s="28">
        <v>10.0</v>
      </c>
      <c r="L69" s="20" t="s">
        <v>10</v>
      </c>
      <c r="M69" s="21">
        <v>10.0</v>
      </c>
      <c r="N69" s="22"/>
      <c r="O69" s="23"/>
      <c r="P69" s="22"/>
      <c r="Q69" s="23"/>
      <c r="R69" s="22"/>
      <c r="S69" s="22"/>
    </row>
    <row r="70">
      <c r="A70" s="1"/>
      <c r="B70" s="6" t="s">
        <v>113</v>
      </c>
      <c r="C70" s="7" t="str">
        <f>IF(AND(E71/G71=1, H71/J71=1, K71/M71=1), "✔️", "❌")</f>
        <v>✔️</v>
      </c>
      <c r="D70" s="2"/>
      <c r="E70" s="2" t="s">
        <v>114</v>
      </c>
      <c r="H70" s="2" t="s">
        <v>115</v>
      </c>
      <c r="K70" s="2" t="s">
        <v>116</v>
      </c>
      <c r="N70" s="4"/>
      <c r="O70" s="3"/>
      <c r="P70" s="4"/>
      <c r="Q70" s="3"/>
      <c r="R70" s="4"/>
      <c r="S70" s="4"/>
    </row>
    <row r="71">
      <c r="A71" s="1"/>
      <c r="D71" s="2"/>
      <c r="E71" s="8">
        <v>2.0</v>
      </c>
      <c r="F71" s="9" t="s">
        <v>10</v>
      </c>
      <c r="G71" s="10">
        <v>2.0</v>
      </c>
      <c r="H71" s="8">
        <v>10.0</v>
      </c>
      <c r="I71" s="9" t="s">
        <v>10</v>
      </c>
      <c r="J71" s="10">
        <v>10.0</v>
      </c>
      <c r="K71" s="1">
        <v>10.0</v>
      </c>
      <c r="L71" s="9" t="s">
        <v>10</v>
      </c>
      <c r="M71" s="10">
        <v>10.0</v>
      </c>
      <c r="N71" s="4"/>
      <c r="O71" s="3"/>
      <c r="P71" s="4"/>
      <c r="Q71" s="3"/>
      <c r="R71" s="4"/>
      <c r="S71" s="4"/>
    </row>
    <row r="72">
      <c r="A72" s="1"/>
      <c r="B72" s="11" t="s">
        <v>117</v>
      </c>
      <c r="C72" s="12" t="str">
        <f>IF(AND(E73/G73=1, H73/J73=1, K73/M73=1), "✔️", "❌")</f>
        <v>✔️</v>
      </c>
      <c r="D72" s="13"/>
      <c r="E72" s="13" t="s">
        <v>118</v>
      </c>
      <c r="F72" s="14"/>
      <c r="G72" s="14"/>
      <c r="H72" s="13" t="s">
        <v>119</v>
      </c>
      <c r="I72" s="14"/>
      <c r="J72" s="14"/>
      <c r="K72" s="13" t="s">
        <v>120</v>
      </c>
      <c r="L72" s="14"/>
      <c r="M72" s="14"/>
      <c r="N72" s="15"/>
      <c r="O72" s="16"/>
      <c r="P72" s="15"/>
      <c r="Q72" s="16"/>
      <c r="R72" s="15"/>
      <c r="S72" s="15"/>
    </row>
    <row r="73">
      <c r="A73" s="1"/>
      <c r="B73" s="17"/>
      <c r="C73" s="17"/>
      <c r="D73" s="24"/>
      <c r="E73" s="19">
        <v>2.0</v>
      </c>
      <c r="F73" s="20" t="s">
        <v>10</v>
      </c>
      <c r="G73" s="21">
        <v>2.0</v>
      </c>
      <c r="H73" s="19">
        <v>10.0</v>
      </c>
      <c r="I73" s="20" t="s">
        <v>10</v>
      </c>
      <c r="J73" s="21">
        <v>10.0</v>
      </c>
      <c r="K73" s="28">
        <v>20.0</v>
      </c>
      <c r="L73" s="20" t="s">
        <v>10</v>
      </c>
      <c r="M73" s="21">
        <v>20.0</v>
      </c>
      <c r="N73" s="22"/>
      <c r="O73" s="23"/>
      <c r="P73" s="22"/>
      <c r="Q73" s="23"/>
      <c r="R73" s="22"/>
      <c r="S73" s="22"/>
    </row>
    <row r="74">
      <c r="A74" s="1"/>
      <c r="B74" s="6" t="s">
        <v>121</v>
      </c>
      <c r="C74" s="7" t="str">
        <f>IF(AND(E75/G75=1, H75/J75=1, K75/M75=1), "✔️", "❌")</f>
        <v>✔️</v>
      </c>
      <c r="D74" s="2"/>
      <c r="E74" s="2" t="s">
        <v>122</v>
      </c>
      <c r="H74" s="2" t="s">
        <v>123</v>
      </c>
      <c r="K74" s="2" t="s">
        <v>124</v>
      </c>
      <c r="N74" s="4"/>
      <c r="O74" s="3"/>
      <c r="P74" s="4"/>
      <c r="Q74" s="3"/>
      <c r="R74" s="4"/>
      <c r="S74" s="4"/>
    </row>
    <row r="75">
      <c r="A75" s="1"/>
      <c r="D75" s="2"/>
      <c r="E75" s="8">
        <v>5.0</v>
      </c>
      <c r="F75" s="9" t="s">
        <v>10</v>
      </c>
      <c r="G75" s="10">
        <v>5.0</v>
      </c>
      <c r="H75" s="8">
        <v>20.0</v>
      </c>
      <c r="I75" s="9" t="s">
        <v>10</v>
      </c>
      <c r="J75" s="10">
        <v>20.0</v>
      </c>
      <c r="K75" s="1">
        <v>3.0</v>
      </c>
      <c r="L75" s="9" t="s">
        <v>10</v>
      </c>
      <c r="M75" s="10">
        <v>3.0</v>
      </c>
      <c r="N75" s="4"/>
      <c r="O75" s="3"/>
      <c r="P75" s="4"/>
      <c r="Q75" s="3"/>
      <c r="R75" s="4"/>
      <c r="S75" s="4"/>
    </row>
    <row r="76">
      <c r="A76" s="1"/>
      <c r="B76" s="11" t="s">
        <v>125</v>
      </c>
      <c r="C76" s="12" t="str">
        <f>IF(AND(E77/G77=1, H77/J77=1, K77/M77=1), "✔️", "❌")</f>
        <v>✔️</v>
      </c>
      <c r="D76" s="13"/>
      <c r="E76" s="13" t="s">
        <v>126</v>
      </c>
      <c r="F76" s="14"/>
      <c r="G76" s="14"/>
      <c r="H76" s="13" t="s">
        <v>127</v>
      </c>
      <c r="I76" s="14"/>
      <c r="J76" s="14"/>
      <c r="K76" s="13" t="s">
        <v>128</v>
      </c>
      <c r="L76" s="14"/>
      <c r="M76" s="14"/>
      <c r="N76" s="15"/>
      <c r="O76" s="16"/>
      <c r="P76" s="15"/>
      <c r="Q76" s="16"/>
      <c r="R76" s="15"/>
      <c r="S76" s="15"/>
    </row>
    <row r="77">
      <c r="A77" s="33"/>
      <c r="B77" s="17"/>
      <c r="C77" s="17"/>
      <c r="D77" s="24"/>
      <c r="E77" s="19">
        <v>10.0</v>
      </c>
      <c r="F77" s="20" t="s">
        <v>10</v>
      </c>
      <c r="G77" s="21">
        <v>10.0</v>
      </c>
      <c r="H77" s="19">
        <v>10.0</v>
      </c>
      <c r="I77" s="20" t="s">
        <v>10</v>
      </c>
      <c r="J77" s="21">
        <v>10.0</v>
      </c>
      <c r="K77" s="28">
        <v>25.0</v>
      </c>
      <c r="L77" s="20" t="s">
        <v>10</v>
      </c>
      <c r="M77" s="21">
        <v>25.0</v>
      </c>
      <c r="N77" s="22"/>
      <c r="O77" s="23"/>
      <c r="P77" s="22"/>
      <c r="Q77" s="23"/>
      <c r="R77" s="22"/>
      <c r="S77" s="22"/>
    </row>
    <row r="78">
      <c r="A78" s="33"/>
      <c r="B78" s="6" t="s">
        <v>129</v>
      </c>
      <c r="C78" s="7" t="str">
        <f>IF(AND(E79/G79=1, H79/J79=1), "✔️", "❌")</f>
        <v>✔️</v>
      </c>
      <c r="D78" s="2"/>
      <c r="E78" s="2" t="s">
        <v>130</v>
      </c>
      <c r="H78" s="2" t="s">
        <v>131</v>
      </c>
      <c r="K78" s="4"/>
      <c r="L78" s="3"/>
      <c r="M78" s="3"/>
      <c r="N78" s="4"/>
      <c r="O78" s="3"/>
      <c r="P78" s="4"/>
      <c r="Q78" s="3"/>
      <c r="R78" s="4"/>
      <c r="S78" s="4"/>
    </row>
    <row r="79">
      <c r="A79" s="33"/>
      <c r="D79" s="2"/>
      <c r="E79" s="8">
        <v>10.0</v>
      </c>
      <c r="F79" s="9" t="s">
        <v>10</v>
      </c>
      <c r="G79" s="10">
        <v>10.0</v>
      </c>
      <c r="H79" s="8">
        <v>3.0</v>
      </c>
      <c r="I79" s="9" t="s">
        <v>10</v>
      </c>
      <c r="J79" s="10">
        <v>3.0</v>
      </c>
      <c r="K79" s="4"/>
      <c r="L79" s="3"/>
      <c r="M79" s="3"/>
      <c r="N79" s="4"/>
      <c r="O79" s="3"/>
      <c r="P79" s="4"/>
      <c r="Q79" s="3"/>
      <c r="R79" s="4"/>
      <c r="S79" s="4"/>
    </row>
    <row r="80">
      <c r="A80" s="33"/>
      <c r="B80" s="11" t="s">
        <v>132</v>
      </c>
      <c r="C80" s="12" t="str">
        <f>IF(AND(E81/G81=1, H81/J81=1), "✔️", "❌")</f>
        <v>✔️</v>
      </c>
      <c r="D80" s="13"/>
      <c r="E80" s="13" t="s">
        <v>133</v>
      </c>
      <c r="F80" s="14"/>
      <c r="G80" s="14"/>
      <c r="H80" s="13" t="s">
        <v>134</v>
      </c>
      <c r="I80" s="14"/>
      <c r="J80" s="14"/>
      <c r="K80" s="15"/>
      <c r="L80" s="16"/>
      <c r="M80" s="16"/>
      <c r="N80" s="15"/>
      <c r="O80" s="16"/>
      <c r="P80" s="15"/>
      <c r="Q80" s="16"/>
      <c r="R80" s="15"/>
      <c r="S80" s="15"/>
    </row>
    <row r="81">
      <c r="A81" s="33"/>
      <c r="B81" s="17"/>
      <c r="C81" s="17"/>
      <c r="D81" s="24"/>
      <c r="E81" s="19">
        <v>2.0</v>
      </c>
      <c r="F81" s="20" t="s">
        <v>10</v>
      </c>
      <c r="G81" s="21">
        <v>2.0</v>
      </c>
      <c r="H81" s="19">
        <v>20.0</v>
      </c>
      <c r="I81" s="20" t="s">
        <v>10</v>
      </c>
      <c r="J81" s="21">
        <v>20.0</v>
      </c>
      <c r="K81" s="22"/>
      <c r="L81" s="23"/>
      <c r="M81" s="23"/>
      <c r="N81" s="22"/>
      <c r="O81" s="23"/>
      <c r="P81" s="22"/>
      <c r="Q81" s="23"/>
      <c r="R81" s="22"/>
      <c r="S81" s="22"/>
    </row>
    <row r="82">
      <c r="A82" s="34"/>
      <c r="B82" s="35"/>
      <c r="C82" s="35"/>
      <c r="D82" s="36"/>
      <c r="E82" s="35"/>
      <c r="F82" s="36"/>
      <c r="G82" s="36"/>
      <c r="H82" s="35"/>
      <c r="I82" s="36"/>
      <c r="J82" s="36"/>
      <c r="K82" s="35"/>
      <c r="L82" s="36"/>
      <c r="M82" s="36"/>
      <c r="N82" s="35"/>
      <c r="O82" s="36"/>
      <c r="P82" s="35"/>
      <c r="Q82" s="36"/>
      <c r="R82" s="35"/>
      <c r="S82" s="35"/>
    </row>
    <row r="83">
      <c r="A83" s="5" t="s">
        <v>135</v>
      </c>
      <c r="B83" s="11" t="s">
        <v>136</v>
      </c>
      <c r="C83" s="12" t="str">
        <f>IF(AND(E84/G84=1, H84/J84=1), "✔️", "❌")</f>
        <v>✔️</v>
      </c>
      <c r="D83" s="13" t="s">
        <v>7</v>
      </c>
      <c r="E83" s="13" t="s">
        <v>137</v>
      </c>
      <c r="F83" s="14"/>
      <c r="G83" s="14"/>
      <c r="H83" s="13" t="s">
        <v>138</v>
      </c>
      <c r="I83" s="14"/>
      <c r="J83" s="14"/>
      <c r="K83" s="15"/>
      <c r="L83" s="16"/>
      <c r="M83" s="16"/>
      <c r="N83" s="15"/>
      <c r="O83" s="16"/>
      <c r="P83" s="15"/>
      <c r="Q83" s="16"/>
      <c r="R83" s="15"/>
      <c r="S83" s="15"/>
    </row>
    <row r="84">
      <c r="B84" s="17"/>
      <c r="C84" s="17"/>
      <c r="D84" s="24"/>
      <c r="E84" s="28">
        <v>8.0</v>
      </c>
      <c r="F84" s="20" t="s">
        <v>10</v>
      </c>
      <c r="G84" s="21">
        <v>8.0</v>
      </c>
      <c r="H84" s="28">
        <v>12.0</v>
      </c>
      <c r="I84" s="20" t="s">
        <v>10</v>
      </c>
      <c r="J84" s="21">
        <v>12.0</v>
      </c>
      <c r="K84" s="22"/>
      <c r="L84" s="23"/>
      <c r="M84" s="23"/>
      <c r="N84" s="22"/>
      <c r="O84" s="23"/>
      <c r="P84" s="22"/>
      <c r="Q84" s="23"/>
      <c r="R84" s="22"/>
      <c r="S84" s="22"/>
    </row>
    <row r="85">
      <c r="B85" s="6" t="s">
        <v>139</v>
      </c>
      <c r="C85" s="12" t="str">
        <f>IF(AND(E86/G86=1, H86/J86=1), "✔️", "❌")</f>
        <v>✔️</v>
      </c>
      <c r="D85" s="2" t="s">
        <v>7</v>
      </c>
      <c r="E85" s="2" t="s">
        <v>140</v>
      </c>
      <c r="H85" s="2" t="s">
        <v>141</v>
      </c>
      <c r="K85" s="4"/>
      <c r="L85" s="3"/>
      <c r="M85" s="3"/>
      <c r="N85" s="4"/>
      <c r="O85" s="3"/>
      <c r="P85" s="4"/>
      <c r="Q85" s="3"/>
      <c r="R85" s="4"/>
      <c r="S85" s="4"/>
    </row>
    <row r="86">
      <c r="A86" s="5" t="s">
        <v>142</v>
      </c>
      <c r="C86" s="17"/>
      <c r="D86" s="2"/>
      <c r="E86" s="1">
        <v>8.0</v>
      </c>
      <c r="F86" s="9" t="s">
        <v>10</v>
      </c>
      <c r="G86" s="10">
        <v>8.0</v>
      </c>
      <c r="H86" s="1">
        <v>17.0</v>
      </c>
      <c r="I86" s="9" t="s">
        <v>10</v>
      </c>
      <c r="J86" s="10">
        <v>17.0</v>
      </c>
      <c r="K86" s="4"/>
      <c r="L86" s="3"/>
      <c r="M86" s="3"/>
      <c r="N86" s="4"/>
      <c r="O86" s="3"/>
      <c r="P86" s="4"/>
      <c r="Q86" s="3"/>
      <c r="R86" s="4"/>
      <c r="S86" s="4"/>
    </row>
    <row r="87">
      <c r="B87" s="11" t="s">
        <v>143</v>
      </c>
      <c r="C87" s="12" t="str">
        <f>IF(AND(E88/G88=1, H88/J88=1), "✔️", "❌")</f>
        <v>✔️</v>
      </c>
      <c r="D87" s="13" t="s">
        <v>7</v>
      </c>
      <c r="E87" s="13" t="s">
        <v>144</v>
      </c>
      <c r="F87" s="14"/>
      <c r="G87" s="14"/>
      <c r="H87" s="13" t="s">
        <v>145</v>
      </c>
      <c r="I87" s="14"/>
      <c r="J87" s="14"/>
      <c r="K87" s="15"/>
      <c r="L87" s="16"/>
      <c r="M87" s="16"/>
      <c r="N87" s="15"/>
      <c r="O87" s="16"/>
      <c r="P87" s="15"/>
      <c r="Q87" s="16"/>
      <c r="R87" s="15"/>
      <c r="S87" s="15"/>
    </row>
    <row r="88">
      <c r="B88" s="17"/>
      <c r="C88" s="17"/>
      <c r="D88" s="24"/>
      <c r="E88" s="28">
        <v>8.0</v>
      </c>
      <c r="F88" s="20" t="s">
        <v>10</v>
      </c>
      <c r="G88" s="21">
        <v>8.0</v>
      </c>
      <c r="H88" s="28">
        <v>5.0</v>
      </c>
      <c r="I88" s="20" t="s">
        <v>10</v>
      </c>
      <c r="J88" s="21">
        <v>5.0</v>
      </c>
      <c r="K88" s="22"/>
      <c r="L88" s="23"/>
      <c r="M88" s="23"/>
      <c r="N88" s="22"/>
      <c r="O88" s="23"/>
      <c r="P88" s="22"/>
      <c r="Q88" s="23"/>
      <c r="R88" s="22"/>
      <c r="S88" s="22"/>
    </row>
    <row r="89">
      <c r="A89" s="5" t="s">
        <v>146</v>
      </c>
      <c r="B89" s="6" t="s">
        <v>147</v>
      </c>
      <c r="C89" s="12" t="str">
        <f>IF(AND(E90/G90=1, H90/J90=1), "✔️", "❌")</f>
        <v>✔️</v>
      </c>
      <c r="D89" s="2" t="s">
        <v>7</v>
      </c>
      <c r="E89" s="2" t="s">
        <v>148</v>
      </c>
      <c r="H89" s="2" t="s">
        <v>149</v>
      </c>
      <c r="K89" s="4"/>
      <c r="L89" s="3"/>
      <c r="M89" s="3"/>
      <c r="N89" s="4"/>
      <c r="O89" s="3"/>
      <c r="P89" s="4"/>
      <c r="Q89" s="3"/>
      <c r="R89" s="4"/>
      <c r="S89" s="4"/>
    </row>
    <row r="90">
      <c r="C90" s="17"/>
      <c r="D90" s="2"/>
      <c r="E90" s="1">
        <v>8.0</v>
      </c>
      <c r="F90" s="9" t="s">
        <v>10</v>
      </c>
      <c r="G90" s="10">
        <v>8.0</v>
      </c>
      <c r="H90" s="1">
        <v>17.0</v>
      </c>
      <c r="I90" s="9" t="s">
        <v>10</v>
      </c>
      <c r="J90" s="10">
        <v>17.0</v>
      </c>
      <c r="K90" s="4"/>
      <c r="L90" s="3"/>
      <c r="M90" s="3"/>
      <c r="N90" s="4"/>
      <c r="O90" s="3"/>
      <c r="P90" s="4"/>
      <c r="Q90" s="3"/>
      <c r="R90" s="4"/>
      <c r="S90" s="4"/>
    </row>
    <row r="91">
      <c r="B91" s="11" t="s">
        <v>150</v>
      </c>
      <c r="C91" s="12" t="str">
        <f>IF(AND(E92/G92=1, H92/J92=1), "✔️", "❌")</f>
        <v>❌</v>
      </c>
      <c r="D91" s="13" t="s">
        <v>7</v>
      </c>
      <c r="E91" s="13" t="s">
        <v>151</v>
      </c>
      <c r="F91" s="14"/>
      <c r="G91" s="14"/>
      <c r="H91" s="13" t="s">
        <v>152</v>
      </c>
      <c r="I91" s="14"/>
      <c r="J91" s="14"/>
      <c r="K91" s="15"/>
      <c r="L91" s="16"/>
      <c r="M91" s="16"/>
      <c r="N91" s="15"/>
      <c r="O91" s="16"/>
      <c r="P91" s="15"/>
      <c r="Q91" s="16"/>
      <c r="R91" s="15"/>
      <c r="S91" s="15"/>
    </row>
    <row r="92">
      <c r="A92" s="5" t="s">
        <v>153</v>
      </c>
      <c r="B92" s="17"/>
      <c r="C92" s="17"/>
      <c r="D92" s="24"/>
      <c r="E92" s="28">
        <v>10.0</v>
      </c>
      <c r="F92" s="20" t="s">
        <v>10</v>
      </c>
      <c r="G92" s="21">
        <v>10.0</v>
      </c>
      <c r="H92" s="28">
        <v>12.0</v>
      </c>
      <c r="I92" s="20" t="s">
        <v>10</v>
      </c>
      <c r="J92" s="21">
        <v>50.0</v>
      </c>
      <c r="K92" s="22"/>
      <c r="L92" s="23"/>
      <c r="M92" s="23"/>
      <c r="N92" s="22"/>
      <c r="O92" s="23"/>
      <c r="P92" s="22"/>
      <c r="Q92" s="23"/>
      <c r="R92" s="22"/>
      <c r="S92" s="22"/>
    </row>
    <row r="93">
      <c r="B93" s="6" t="s">
        <v>154</v>
      </c>
      <c r="C93" s="12" t="str">
        <f>IF(AND(E94/G94=1, H94/J94=1), "✔️", "❌")</f>
        <v>❌</v>
      </c>
      <c r="D93" s="2" t="s">
        <v>7</v>
      </c>
      <c r="E93" s="2" t="s">
        <v>155</v>
      </c>
      <c r="H93" s="2" t="s">
        <v>156</v>
      </c>
      <c r="K93" s="4"/>
      <c r="L93" s="3"/>
      <c r="M93" s="3"/>
      <c r="N93" s="4"/>
      <c r="O93" s="3"/>
      <c r="P93" s="4"/>
      <c r="Q93" s="3"/>
      <c r="R93" s="4"/>
      <c r="S93" s="4"/>
    </row>
    <row r="94">
      <c r="C94" s="17"/>
      <c r="D94" s="2"/>
      <c r="E94" s="1">
        <v>0.0</v>
      </c>
      <c r="F94" s="9" t="s">
        <v>10</v>
      </c>
      <c r="G94" s="10">
        <v>10.0</v>
      </c>
      <c r="H94" s="1">
        <v>0.0</v>
      </c>
      <c r="I94" s="9" t="s">
        <v>10</v>
      </c>
      <c r="J94" s="10">
        <v>50.0</v>
      </c>
      <c r="K94" s="4"/>
      <c r="L94" s="3"/>
      <c r="M94" s="3"/>
      <c r="N94" s="4"/>
      <c r="O94" s="3"/>
      <c r="P94" s="4"/>
      <c r="Q94" s="3"/>
      <c r="R94" s="4"/>
      <c r="S94" s="4"/>
    </row>
    <row r="95">
      <c r="A95" s="5" t="s">
        <v>35</v>
      </c>
      <c r="B95" s="11" t="s">
        <v>157</v>
      </c>
      <c r="C95" s="12" t="str">
        <f>IF(AND(E96/G96=1, H96/J96=1), "✔️", "❌")</f>
        <v>❌</v>
      </c>
      <c r="D95" s="13" t="s">
        <v>7</v>
      </c>
      <c r="E95" s="13" t="s">
        <v>158</v>
      </c>
      <c r="F95" s="14"/>
      <c r="G95" s="14"/>
      <c r="H95" s="13" t="s">
        <v>159</v>
      </c>
      <c r="I95" s="14"/>
      <c r="J95" s="14"/>
      <c r="K95" s="15"/>
      <c r="L95" s="16"/>
      <c r="M95" s="16"/>
      <c r="N95" s="15"/>
      <c r="O95" s="16"/>
      <c r="P95" s="15"/>
      <c r="Q95" s="16"/>
      <c r="R95" s="15"/>
      <c r="S95" s="15"/>
    </row>
    <row r="96">
      <c r="B96" s="17"/>
      <c r="C96" s="17"/>
      <c r="D96" s="24"/>
      <c r="E96" s="28">
        <v>6.0</v>
      </c>
      <c r="F96" s="20" t="s">
        <v>10</v>
      </c>
      <c r="G96" s="21">
        <v>6.0</v>
      </c>
      <c r="H96" s="28">
        <v>5.0</v>
      </c>
      <c r="I96" s="20" t="s">
        <v>10</v>
      </c>
      <c r="J96" s="21">
        <v>20.0</v>
      </c>
      <c r="K96" s="22"/>
      <c r="L96" s="23"/>
      <c r="M96" s="23"/>
      <c r="N96" s="22"/>
      <c r="O96" s="23"/>
      <c r="P96" s="22"/>
      <c r="Q96" s="23"/>
      <c r="R96" s="22"/>
      <c r="S96" s="22"/>
    </row>
    <row r="97">
      <c r="B97" s="6" t="s">
        <v>160</v>
      </c>
      <c r="C97" s="12" t="str">
        <f>IF(AND(E98/G98=1, H98/J98=1), "✔️", "❌")</f>
        <v>✔️</v>
      </c>
      <c r="D97" s="2" t="s">
        <v>7</v>
      </c>
      <c r="E97" s="2" t="s">
        <v>140</v>
      </c>
      <c r="H97" s="2" t="s">
        <v>161</v>
      </c>
      <c r="K97" s="4"/>
      <c r="L97" s="3"/>
      <c r="M97" s="3"/>
      <c r="N97" s="4"/>
      <c r="O97" s="3"/>
      <c r="P97" s="4"/>
      <c r="Q97" s="3"/>
      <c r="R97" s="4"/>
      <c r="S97" s="4"/>
    </row>
    <row r="98">
      <c r="A98" s="5" t="s">
        <v>14</v>
      </c>
      <c r="C98" s="17"/>
      <c r="D98" s="2"/>
      <c r="E98" s="1">
        <v>8.0</v>
      </c>
      <c r="F98" s="9" t="s">
        <v>10</v>
      </c>
      <c r="G98" s="10">
        <v>8.0</v>
      </c>
      <c r="H98" s="1">
        <v>20.0</v>
      </c>
      <c r="I98" s="9" t="s">
        <v>10</v>
      </c>
      <c r="J98" s="10">
        <v>20.0</v>
      </c>
      <c r="K98" s="4"/>
      <c r="L98" s="3"/>
      <c r="M98" s="3"/>
      <c r="N98" s="4"/>
      <c r="O98" s="3"/>
      <c r="P98" s="4"/>
      <c r="Q98" s="3"/>
      <c r="R98" s="4"/>
      <c r="S98" s="4"/>
    </row>
    <row r="99">
      <c r="B99" s="11" t="s">
        <v>162</v>
      </c>
      <c r="C99" s="12" t="str">
        <f>IF(AND(E100/G100=1, H100/J100=1), "✔️", "❌")</f>
        <v>✔️</v>
      </c>
      <c r="D99" s="13" t="s">
        <v>7</v>
      </c>
      <c r="E99" s="13" t="s">
        <v>163</v>
      </c>
      <c r="F99" s="14"/>
      <c r="G99" s="14"/>
      <c r="H99" s="13" t="s">
        <v>164</v>
      </c>
      <c r="I99" s="14"/>
      <c r="J99" s="14"/>
      <c r="K99" s="15"/>
      <c r="L99" s="16"/>
      <c r="M99" s="16"/>
      <c r="N99" s="15"/>
      <c r="O99" s="16"/>
      <c r="P99" s="15"/>
      <c r="Q99" s="16"/>
      <c r="R99" s="15"/>
      <c r="S99" s="15"/>
    </row>
    <row r="100">
      <c r="A100" s="17"/>
      <c r="B100" s="17"/>
      <c r="C100" s="17"/>
      <c r="D100" s="24"/>
      <c r="E100" s="28">
        <v>8.0</v>
      </c>
      <c r="F100" s="20" t="s">
        <v>10</v>
      </c>
      <c r="G100" s="21">
        <v>8.0</v>
      </c>
      <c r="H100" s="28">
        <v>20.0</v>
      </c>
      <c r="I100" s="20" t="s">
        <v>10</v>
      </c>
      <c r="J100" s="21">
        <v>20.0</v>
      </c>
      <c r="K100" s="22"/>
      <c r="L100" s="23"/>
      <c r="M100" s="23"/>
      <c r="N100" s="22"/>
      <c r="O100" s="23"/>
      <c r="P100" s="22"/>
      <c r="Q100" s="23"/>
      <c r="R100" s="22"/>
      <c r="S100" s="22"/>
    </row>
    <row r="101">
      <c r="A101" s="25">
        <f>COUNTIF(C83:C145, "✔️")</f>
        <v>16</v>
      </c>
      <c r="B101" s="6" t="s">
        <v>165</v>
      </c>
      <c r="C101" s="12" t="str">
        <f>IF(AND(E102/G102=1, H102/J102=1), "✔️", "❌")</f>
        <v>❌</v>
      </c>
      <c r="D101" s="2" t="s">
        <v>7</v>
      </c>
      <c r="E101" s="2" t="s">
        <v>166</v>
      </c>
      <c r="H101" s="2" t="s">
        <v>167</v>
      </c>
      <c r="K101" s="4"/>
      <c r="L101" s="3"/>
      <c r="M101" s="3"/>
      <c r="N101" s="4"/>
      <c r="O101" s="3"/>
      <c r="P101" s="4"/>
      <c r="Q101" s="3"/>
      <c r="R101" s="4"/>
      <c r="S101" s="4"/>
    </row>
    <row r="102">
      <c r="A102" s="37" t="s">
        <v>10</v>
      </c>
      <c r="C102" s="17"/>
      <c r="D102" s="2"/>
      <c r="E102" s="1">
        <v>8.0</v>
      </c>
      <c r="F102" s="9" t="s">
        <v>10</v>
      </c>
      <c r="G102" s="10">
        <v>8.0</v>
      </c>
      <c r="H102" s="1">
        <v>7.0</v>
      </c>
      <c r="I102" s="9" t="s">
        <v>10</v>
      </c>
      <c r="J102" s="10">
        <v>20.0</v>
      </c>
      <c r="K102" s="1"/>
      <c r="L102" s="2"/>
      <c r="M102" s="2"/>
      <c r="N102" s="4"/>
      <c r="O102" s="3"/>
      <c r="P102" s="4"/>
      <c r="Q102" s="3"/>
      <c r="R102" s="4"/>
      <c r="S102" s="4"/>
    </row>
    <row r="103">
      <c r="B103" s="11" t="s">
        <v>168</v>
      </c>
      <c r="C103" s="12" t="str">
        <f>IF(AND(E104/G104=1, H104/J104=1, K104/M104=1), "✔️", "❌")</f>
        <v>✔️</v>
      </c>
      <c r="D103" s="13" t="s">
        <v>7</v>
      </c>
      <c r="E103" s="13" t="s">
        <v>169</v>
      </c>
      <c r="F103" s="14"/>
      <c r="G103" s="14"/>
      <c r="H103" s="13" t="s">
        <v>170</v>
      </c>
      <c r="I103" s="14"/>
      <c r="J103" s="14"/>
      <c r="K103" s="13" t="s">
        <v>171</v>
      </c>
      <c r="L103" s="14"/>
      <c r="M103" s="14"/>
      <c r="N103" s="15"/>
      <c r="O103" s="16"/>
      <c r="P103" s="15"/>
      <c r="Q103" s="16"/>
      <c r="R103" s="15"/>
      <c r="S103" s="15"/>
    </row>
    <row r="104">
      <c r="A104" s="38">
        <v>32.0</v>
      </c>
      <c r="B104" s="17"/>
      <c r="C104" s="17"/>
      <c r="D104" s="24"/>
      <c r="E104" s="28">
        <v>10.0</v>
      </c>
      <c r="F104" s="20" t="s">
        <v>10</v>
      </c>
      <c r="G104" s="21">
        <v>10.0</v>
      </c>
      <c r="H104" s="28">
        <v>30.0</v>
      </c>
      <c r="I104" s="20" t="s">
        <v>10</v>
      </c>
      <c r="J104" s="21">
        <v>30.0</v>
      </c>
      <c r="K104" s="28">
        <v>20.0</v>
      </c>
      <c r="L104" s="20" t="s">
        <v>10</v>
      </c>
      <c r="M104" s="21">
        <v>20.0</v>
      </c>
      <c r="N104" s="22"/>
      <c r="O104" s="23"/>
      <c r="P104" s="22"/>
      <c r="Q104" s="23"/>
      <c r="R104" s="22"/>
      <c r="S104" s="22"/>
    </row>
    <row r="105">
      <c r="A105" s="39"/>
      <c r="B105" s="6" t="s">
        <v>172</v>
      </c>
      <c r="C105" s="12" t="str">
        <f>IF(AND(E106/G106=1, H106/J106=1), "✔️", "❌")</f>
        <v>❌</v>
      </c>
      <c r="D105" s="2" t="s">
        <v>7</v>
      </c>
      <c r="E105" s="2" t="s">
        <v>173</v>
      </c>
      <c r="H105" s="2" t="s">
        <v>174</v>
      </c>
      <c r="K105" s="4"/>
      <c r="L105" s="3"/>
      <c r="M105" s="3"/>
      <c r="N105" s="4"/>
      <c r="O105" s="3"/>
      <c r="P105" s="4"/>
      <c r="Q105" s="3"/>
      <c r="R105" s="4"/>
      <c r="S105" s="4"/>
    </row>
    <row r="106">
      <c r="A106" s="39"/>
      <c r="C106" s="17"/>
      <c r="D106" s="2"/>
      <c r="E106" s="1">
        <v>58.0</v>
      </c>
      <c r="F106" s="9" t="s">
        <v>10</v>
      </c>
      <c r="G106" s="10">
        <v>100.0</v>
      </c>
      <c r="H106" s="1">
        <v>50.0</v>
      </c>
      <c r="I106" s="9" t="s">
        <v>10</v>
      </c>
      <c r="J106" s="10">
        <v>50.0</v>
      </c>
      <c r="K106" s="1"/>
      <c r="L106" s="2"/>
      <c r="M106" s="2"/>
      <c r="N106" s="4"/>
      <c r="O106" s="3"/>
      <c r="P106" s="4"/>
      <c r="Q106" s="3"/>
      <c r="R106" s="4"/>
      <c r="S106" s="4"/>
    </row>
    <row r="107">
      <c r="A107" s="39"/>
      <c r="B107" s="11" t="s">
        <v>175</v>
      </c>
      <c r="C107" s="12" t="str">
        <f>IF(AND(E108/G108=1, H108/J108=1, K108/M108=1), "✔️", "❌")</f>
        <v>✔️</v>
      </c>
      <c r="D107" s="13" t="s">
        <v>7</v>
      </c>
      <c r="E107" s="13" t="s">
        <v>176</v>
      </c>
      <c r="F107" s="14"/>
      <c r="G107" s="14"/>
      <c r="H107" s="13" t="s">
        <v>177</v>
      </c>
      <c r="I107" s="14"/>
      <c r="J107" s="14"/>
      <c r="K107" s="13" t="s">
        <v>178</v>
      </c>
      <c r="L107" s="14"/>
      <c r="M107" s="14"/>
      <c r="N107" s="15"/>
      <c r="O107" s="16"/>
      <c r="P107" s="15"/>
      <c r="Q107" s="16"/>
      <c r="R107" s="15"/>
      <c r="S107" s="15"/>
    </row>
    <row r="108">
      <c r="A108" s="39"/>
      <c r="B108" s="17"/>
      <c r="C108" s="17"/>
      <c r="D108" s="24"/>
      <c r="E108" s="28">
        <v>25.0</v>
      </c>
      <c r="F108" s="20" t="s">
        <v>10</v>
      </c>
      <c r="G108" s="21">
        <v>25.0</v>
      </c>
      <c r="H108" s="28">
        <v>25.0</v>
      </c>
      <c r="I108" s="20" t="s">
        <v>10</v>
      </c>
      <c r="J108" s="21">
        <v>25.0</v>
      </c>
      <c r="K108" s="28">
        <v>50.0</v>
      </c>
      <c r="L108" s="20" t="s">
        <v>10</v>
      </c>
      <c r="M108" s="21">
        <v>50.0</v>
      </c>
      <c r="N108" s="22"/>
      <c r="O108" s="23"/>
      <c r="P108" s="22"/>
      <c r="Q108" s="23"/>
      <c r="R108" s="22"/>
      <c r="S108" s="22"/>
    </row>
    <row r="109">
      <c r="A109" s="39"/>
      <c r="B109" s="6" t="s">
        <v>179</v>
      </c>
      <c r="C109" s="12" t="str">
        <f>IF(AND(E110/G110=1, H110/J110=1), "✔️", "❌")</f>
        <v>✔️</v>
      </c>
      <c r="D109" s="2" t="s">
        <v>7</v>
      </c>
      <c r="E109" s="2" t="s">
        <v>180</v>
      </c>
      <c r="H109" s="2" t="s">
        <v>181</v>
      </c>
      <c r="K109" s="4"/>
      <c r="L109" s="3"/>
      <c r="M109" s="3"/>
      <c r="N109" s="4"/>
      <c r="O109" s="3"/>
      <c r="P109" s="4"/>
      <c r="Q109" s="3"/>
      <c r="R109" s="4"/>
      <c r="S109" s="4"/>
    </row>
    <row r="110">
      <c r="A110" s="39"/>
      <c r="C110" s="17"/>
      <c r="D110" s="2"/>
      <c r="E110" s="1">
        <v>25.0</v>
      </c>
      <c r="F110" s="9" t="s">
        <v>10</v>
      </c>
      <c r="G110" s="10">
        <v>25.0</v>
      </c>
      <c r="H110" s="1">
        <v>50.0</v>
      </c>
      <c r="I110" s="9" t="s">
        <v>10</v>
      </c>
      <c r="J110" s="10">
        <v>50.0</v>
      </c>
      <c r="K110" s="4"/>
      <c r="L110" s="3"/>
      <c r="M110" s="3"/>
      <c r="N110" s="4"/>
      <c r="O110" s="3"/>
      <c r="P110" s="4"/>
      <c r="Q110" s="3"/>
      <c r="R110" s="4"/>
      <c r="S110" s="4"/>
    </row>
    <row r="111">
      <c r="A111" s="39"/>
      <c r="B111" s="11" t="s">
        <v>182</v>
      </c>
      <c r="C111" s="12" t="str">
        <f>IF(AND(E112/G112=1, H112/J112=1), "✔️", "❌")</f>
        <v>❌</v>
      </c>
      <c r="D111" s="13" t="s">
        <v>7</v>
      </c>
      <c r="E111" s="13" t="s">
        <v>183</v>
      </c>
      <c r="F111" s="14"/>
      <c r="G111" s="14"/>
      <c r="H111" s="13" t="s">
        <v>184</v>
      </c>
      <c r="I111" s="14"/>
      <c r="J111" s="14"/>
      <c r="K111" s="15"/>
      <c r="L111" s="16"/>
      <c r="M111" s="16"/>
      <c r="N111" s="15"/>
      <c r="O111" s="16"/>
      <c r="P111" s="15"/>
      <c r="Q111" s="16"/>
      <c r="R111" s="15"/>
      <c r="S111" s="15"/>
    </row>
    <row r="112">
      <c r="A112" s="39"/>
      <c r="B112" s="17"/>
      <c r="C112" s="17"/>
      <c r="D112" s="24"/>
      <c r="E112" s="40">
        <v>0.0</v>
      </c>
      <c r="F112" s="20" t="s">
        <v>10</v>
      </c>
      <c r="G112" s="21">
        <v>20.0</v>
      </c>
      <c r="H112" s="28">
        <v>0.0</v>
      </c>
      <c r="I112" s="20" t="s">
        <v>10</v>
      </c>
      <c r="J112" s="21">
        <v>20.0</v>
      </c>
      <c r="K112" s="22"/>
      <c r="L112" s="23"/>
      <c r="M112" s="23"/>
      <c r="N112" s="22"/>
      <c r="O112" s="23"/>
      <c r="P112" s="22"/>
      <c r="Q112" s="23"/>
      <c r="R112" s="22"/>
      <c r="S112" s="22"/>
    </row>
    <row r="113">
      <c r="A113" s="39"/>
      <c r="B113" s="6" t="s">
        <v>185</v>
      </c>
      <c r="C113" s="12" t="str">
        <f>IF(E114/G114=1, "✔️", "❌")</f>
        <v>❌</v>
      </c>
      <c r="D113" s="2"/>
      <c r="E113" s="41" t="s">
        <v>186</v>
      </c>
      <c r="H113" s="4"/>
      <c r="I113" s="3"/>
      <c r="J113" s="3"/>
      <c r="K113" s="4"/>
      <c r="L113" s="3"/>
      <c r="M113" s="3"/>
      <c r="N113" s="4"/>
      <c r="O113" s="3"/>
      <c r="P113" s="4"/>
      <c r="Q113" s="3"/>
      <c r="R113" s="4"/>
      <c r="S113" s="4"/>
    </row>
    <row r="114">
      <c r="A114" s="39"/>
      <c r="C114" s="17"/>
      <c r="D114" s="2"/>
      <c r="E114" s="1">
        <v>0.0</v>
      </c>
      <c r="F114" s="9" t="s">
        <v>10</v>
      </c>
      <c r="G114" s="10">
        <v>1.0</v>
      </c>
      <c r="H114" s="4"/>
      <c r="I114" s="3"/>
      <c r="J114" s="3"/>
      <c r="K114" s="4"/>
      <c r="L114" s="3"/>
      <c r="M114" s="3"/>
      <c r="N114" s="4"/>
      <c r="O114" s="3"/>
      <c r="P114" s="4"/>
      <c r="Q114" s="3"/>
      <c r="R114" s="4"/>
      <c r="S114" s="4"/>
    </row>
    <row r="115">
      <c r="A115" s="39"/>
      <c r="B115" s="11" t="s">
        <v>187</v>
      </c>
      <c r="C115" s="12" t="str">
        <f>IF(E116/G116=1, "✔️", "❌")</f>
        <v>✔️</v>
      </c>
      <c r="D115" s="13"/>
      <c r="E115" s="13" t="s">
        <v>188</v>
      </c>
      <c r="F115" s="14"/>
      <c r="G115" s="14"/>
      <c r="H115" s="15"/>
      <c r="I115" s="16"/>
      <c r="J115" s="16"/>
      <c r="K115" s="15"/>
      <c r="L115" s="16"/>
      <c r="M115" s="16"/>
      <c r="N115" s="15"/>
      <c r="O115" s="16"/>
      <c r="P115" s="15"/>
      <c r="Q115" s="16"/>
      <c r="R115" s="15"/>
      <c r="S115" s="15"/>
    </row>
    <row r="116">
      <c r="A116" s="39"/>
      <c r="B116" s="17"/>
      <c r="C116" s="17"/>
      <c r="D116" s="24"/>
      <c r="E116" s="28">
        <v>1.0</v>
      </c>
      <c r="F116" s="20" t="s">
        <v>10</v>
      </c>
      <c r="G116" s="21">
        <v>1.0</v>
      </c>
      <c r="H116" s="28"/>
      <c r="I116" s="24"/>
      <c r="J116" s="32"/>
      <c r="K116" s="28"/>
      <c r="L116" s="24"/>
      <c r="M116" s="24"/>
      <c r="N116" s="28"/>
      <c r="O116" s="24"/>
      <c r="P116" s="28"/>
      <c r="Q116" s="24"/>
      <c r="R116" s="22"/>
      <c r="S116" s="22"/>
    </row>
    <row r="117">
      <c r="A117" s="39"/>
      <c r="B117" s="6" t="s">
        <v>189</v>
      </c>
      <c r="C117" s="12" t="str">
        <f>IF(AND(E118/G118=1, H118/J118=1, K118/M118=1, N118/P118=1, Q118/S118=1), "✔️", "❌")</f>
        <v>✔️</v>
      </c>
      <c r="D117" s="2"/>
      <c r="E117" s="2" t="s">
        <v>190</v>
      </c>
      <c r="H117" s="2" t="s">
        <v>191</v>
      </c>
      <c r="K117" s="2" t="s">
        <v>192</v>
      </c>
      <c r="N117" s="2" t="s">
        <v>193</v>
      </c>
      <c r="Q117" s="2" t="s">
        <v>194</v>
      </c>
    </row>
    <row r="118">
      <c r="A118" s="42"/>
      <c r="C118" s="17"/>
      <c r="D118" s="2"/>
      <c r="E118" s="1">
        <v>25.0</v>
      </c>
      <c r="F118" s="9" t="s">
        <v>10</v>
      </c>
      <c r="G118" s="10">
        <v>25.0</v>
      </c>
      <c r="H118" s="1">
        <v>25.0</v>
      </c>
      <c r="I118" s="9" t="s">
        <v>10</v>
      </c>
      <c r="J118" s="10">
        <v>25.0</v>
      </c>
      <c r="K118" s="1">
        <v>25.0</v>
      </c>
      <c r="L118" s="9" t="s">
        <v>10</v>
      </c>
      <c r="M118" s="10">
        <v>25.0</v>
      </c>
      <c r="N118" s="1">
        <v>25.0</v>
      </c>
      <c r="O118" s="9" t="s">
        <v>10</v>
      </c>
      <c r="P118" s="10">
        <v>25.0</v>
      </c>
      <c r="Q118" s="8">
        <v>25.0</v>
      </c>
      <c r="R118" s="9" t="s">
        <v>10</v>
      </c>
      <c r="S118" s="10">
        <v>25.0</v>
      </c>
    </row>
    <row r="119">
      <c r="A119" s="42"/>
      <c r="B119" s="11" t="s">
        <v>195</v>
      </c>
      <c r="C119" s="12" t="str">
        <f>IF(AND(E120/G120=1, H120/J120=1), "✔️", "❌")</f>
        <v>❌</v>
      </c>
      <c r="D119" s="13"/>
      <c r="E119" s="13" t="s">
        <v>196</v>
      </c>
      <c r="F119" s="14"/>
      <c r="G119" s="14"/>
      <c r="H119" s="13" t="s">
        <v>197</v>
      </c>
      <c r="I119" s="14"/>
      <c r="J119" s="14"/>
      <c r="K119" s="15"/>
      <c r="L119" s="16"/>
      <c r="M119" s="16"/>
      <c r="N119" s="15"/>
      <c r="O119" s="16"/>
      <c r="P119" s="15"/>
      <c r="Q119" s="16"/>
      <c r="R119" s="15"/>
      <c r="S119" s="15"/>
    </row>
    <row r="120">
      <c r="A120" s="42"/>
      <c r="B120" s="17"/>
      <c r="C120" s="17"/>
      <c r="D120" s="24"/>
      <c r="E120" s="28">
        <v>0.0</v>
      </c>
      <c r="F120" s="20" t="s">
        <v>10</v>
      </c>
      <c r="G120" s="21">
        <v>15.0</v>
      </c>
      <c r="H120" s="28">
        <v>0.0</v>
      </c>
      <c r="I120" s="20" t="s">
        <v>10</v>
      </c>
      <c r="J120" s="21">
        <v>1.0</v>
      </c>
      <c r="K120" s="28"/>
      <c r="L120" s="32"/>
      <c r="M120" s="32"/>
      <c r="N120" s="28"/>
      <c r="O120" s="32"/>
      <c r="P120" s="22"/>
      <c r="Q120" s="23"/>
      <c r="R120" s="22"/>
      <c r="S120" s="22"/>
    </row>
    <row r="121">
      <c r="A121" s="42"/>
      <c r="B121" s="6" t="s">
        <v>198</v>
      </c>
      <c r="C121" s="12" t="str">
        <f>IF(AND(E122/G122=1, H122/J122=1, K122/M122=1, N122/P122=1), "✔️", "❌")</f>
        <v>✔️</v>
      </c>
      <c r="D121" s="2"/>
      <c r="E121" s="2" t="s">
        <v>199</v>
      </c>
      <c r="H121" s="2" t="s">
        <v>200</v>
      </c>
      <c r="K121" s="2" t="s">
        <v>201</v>
      </c>
      <c r="N121" s="2" t="s">
        <v>202</v>
      </c>
      <c r="Q121" s="3"/>
      <c r="R121" s="4"/>
      <c r="S121" s="4"/>
    </row>
    <row r="122">
      <c r="A122" s="42"/>
      <c r="C122" s="17"/>
      <c r="D122" s="2"/>
      <c r="E122" s="1">
        <v>1.0</v>
      </c>
      <c r="F122" s="9" t="s">
        <v>10</v>
      </c>
      <c r="G122" s="10">
        <v>1.0</v>
      </c>
      <c r="H122" s="1">
        <v>1.0</v>
      </c>
      <c r="I122" s="9" t="s">
        <v>10</v>
      </c>
      <c r="J122" s="10">
        <v>1.0</v>
      </c>
      <c r="K122" s="1">
        <v>1.0</v>
      </c>
      <c r="L122" s="9" t="s">
        <v>10</v>
      </c>
      <c r="M122" s="10">
        <v>1.0</v>
      </c>
      <c r="N122" s="1">
        <v>1.0</v>
      </c>
      <c r="O122" s="9" t="s">
        <v>10</v>
      </c>
      <c r="P122" s="10">
        <v>1.0</v>
      </c>
      <c r="Q122" s="3"/>
      <c r="R122" s="4"/>
      <c r="S122" s="4"/>
    </row>
    <row r="123">
      <c r="A123" s="42"/>
      <c r="B123" s="11" t="s">
        <v>203</v>
      </c>
      <c r="C123" s="12" t="str">
        <f>IF(AND(E124/G124=1, H124/J124=1, K124/M124=1), "✔️", "❌")</f>
        <v>❌</v>
      </c>
      <c r="D123" s="13"/>
      <c r="E123" s="13" t="s">
        <v>204</v>
      </c>
      <c r="F123" s="14"/>
      <c r="G123" s="14"/>
      <c r="H123" s="13" t="s">
        <v>205</v>
      </c>
      <c r="I123" s="14"/>
      <c r="J123" s="14"/>
      <c r="K123" s="13" t="s">
        <v>206</v>
      </c>
      <c r="L123" s="14"/>
      <c r="M123" s="14"/>
      <c r="N123" s="15"/>
      <c r="O123" s="16"/>
      <c r="P123" s="15"/>
      <c r="Q123" s="16"/>
      <c r="R123" s="15"/>
      <c r="S123" s="15"/>
    </row>
    <row r="124">
      <c r="A124" s="42"/>
      <c r="B124" s="17"/>
      <c r="C124" s="17"/>
      <c r="D124" s="24"/>
      <c r="E124" s="28">
        <v>0.0</v>
      </c>
      <c r="F124" s="20" t="s">
        <v>10</v>
      </c>
      <c r="G124" s="21">
        <v>3.0</v>
      </c>
      <c r="H124" s="28">
        <v>1.0</v>
      </c>
      <c r="I124" s="20" t="s">
        <v>10</v>
      </c>
      <c r="J124" s="21">
        <v>20.0</v>
      </c>
      <c r="K124" s="28">
        <v>1.0</v>
      </c>
      <c r="L124" s="20" t="s">
        <v>10</v>
      </c>
      <c r="M124" s="21">
        <v>1.0</v>
      </c>
      <c r="N124" s="22"/>
      <c r="O124" s="23"/>
      <c r="P124" s="22"/>
      <c r="Q124" s="23"/>
      <c r="R124" s="22"/>
      <c r="S124" s="22"/>
    </row>
    <row r="125">
      <c r="A125" s="42"/>
      <c r="B125" s="6" t="s">
        <v>207</v>
      </c>
      <c r="C125" s="12" t="str">
        <f>IF(E126/G126=1, "✔️", "❌")</f>
        <v>✔️</v>
      </c>
      <c r="D125" s="2"/>
      <c r="E125" s="2" t="s">
        <v>208</v>
      </c>
      <c r="H125" s="4"/>
      <c r="I125" s="3"/>
      <c r="J125" s="3"/>
      <c r="K125" s="4"/>
      <c r="L125" s="3"/>
      <c r="M125" s="3"/>
      <c r="N125" s="4"/>
      <c r="O125" s="3"/>
      <c r="P125" s="4"/>
      <c r="Q125" s="3"/>
      <c r="R125" s="4"/>
      <c r="S125" s="4"/>
    </row>
    <row r="126">
      <c r="A126" s="4"/>
      <c r="C126" s="17"/>
      <c r="D126" s="2"/>
      <c r="E126" s="1">
        <v>10.0</v>
      </c>
      <c r="F126" s="9" t="s">
        <v>10</v>
      </c>
      <c r="G126" s="10">
        <v>10.0</v>
      </c>
      <c r="H126" s="1"/>
      <c r="I126" s="2"/>
      <c r="J126" s="2"/>
      <c r="K126" s="4"/>
      <c r="L126" s="3"/>
      <c r="M126" s="3"/>
      <c r="N126" s="4"/>
      <c r="O126" s="3"/>
      <c r="P126" s="4"/>
      <c r="Q126" s="3"/>
      <c r="R126" s="4"/>
      <c r="S126" s="4"/>
    </row>
    <row r="127">
      <c r="A127" s="4"/>
      <c r="B127" s="11" t="s">
        <v>209</v>
      </c>
      <c r="C127" s="12" t="str">
        <f>IF(AND(E128/G128=1, H128/J128=1), "✔️", "❌")</f>
        <v>✔️</v>
      </c>
      <c r="D127" s="13"/>
      <c r="E127" s="13" t="s">
        <v>210</v>
      </c>
      <c r="F127" s="14"/>
      <c r="G127" s="14"/>
      <c r="H127" s="13" t="s">
        <v>211</v>
      </c>
      <c r="I127" s="14"/>
      <c r="J127" s="14"/>
      <c r="K127" s="15"/>
      <c r="L127" s="16"/>
      <c r="M127" s="16"/>
      <c r="N127" s="15"/>
      <c r="O127" s="16"/>
      <c r="P127" s="15"/>
      <c r="Q127" s="16"/>
      <c r="R127" s="15"/>
      <c r="S127" s="15"/>
    </row>
    <row r="128">
      <c r="A128" s="4"/>
      <c r="B128" s="17"/>
      <c r="C128" s="17"/>
      <c r="D128" s="24"/>
      <c r="E128" s="28">
        <v>10.0</v>
      </c>
      <c r="F128" s="20" t="s">
        <v>10</v>
      </c>
      <c r="G128" s="21">
        <v>10.0</v>
      </c>
      <c r="H128" s="28">
        <v>10.0</v>
      </c>
      <c r="I128" s="20" t="s">
        <v>10</v>
      </c>
      <c r="J128" s="21">
        <v>10.0</v>
      </c>
      <c r="K128" s="22"/>
      <c r="L128" s="23"/>
      <c r="M128" s="23"/>
      <c r="N128" s="22"/>
      <c r="O128" s="23"/>
      <c r="P128" s="22"/>
      <c r="Q128" s="23"/>
      <c r="R128" s="22"/>
      <c r="S128" s="22"/>
    </row>
    <row r="129">
      <c r="A129" s="4"/>
      <c r="B129" s="6" t="s">
        <v>212</v>
      </c>
      <c r="C129" s="12" t="str">
        <f>IF(AND(E130/G130=1, H130/J130=1), "✔️", "❌")</f>
        <v>❌</v>
      </c>
      <c r="D129" s="2"/>
      <c r="E129" s="2" t="s">
        <v>213</v>
      </c>
      <c r="H129" s="2" t="s">
        <v>214</v>
      </c>
      <c r="K129" s="4"/>
      <c r="L129" s="3"/>
      <c r="M129" s="3"/>
      <c r="N129" s="4"/>
      <c r="O129" s="3"/>
      <c r="P129" s="4"/>
      <c r="Q129" s="3"/>
      <c r="R129" s="4"/>
      <c r="S129" s="4"/>
    </row>
    <row r="130">
      <c r="A130" s="4"/>
      <c r="C130" s="17"/>
      <c r="D130" s="2"/>
      <c r="E130" s="1">
        <v>3.0</v>
      </c>
      <c r="F130" s="9" t="s">
        <v>10</v>
      </c>
      <c r="G130" s="10">
        <v>3.0</v>
      </c>
      <c r="H130" s="1">
        <v>0.0</v>
      </c>
      <c r="I130" s="9" t="s">
        <v>10</v>
      </c>
      <c r="J130" s="10">
        <v>5.0</v>
      </c>
      <c r="K130" s="1"/>
      <c r="L130" s="29"/>
      <c r="M130" s="29"/>
      <c r="N130" s="1"/>
      <c r="O130" s="2"/>
      <c r="P130" s="4"/>
      <c r="Q130" s="3"/>
      <c r="R130" s="4"/>
      <c r="S130" s="4"/>
    </row>
    <row r="131">
      <c r="A131" s="4"/>
      <c r="B131" s="11" t="s">
        <v>215</v>
      </c>
      <c r="C131" s="12" t="str">
        <f>IF(AND(E132/G132=1, H132/J132=1, K132/M132=1, N132/P132=1), "✔️", "❌")</f>
        <v>❌</v>
      </c>
      <c r="D131" s="13"/>
      <c r="E131" s="13" t="s">
        <v>216</v>
      </c>
      <c r="F131" s="14"/>
      <c r="G131" s="14"/>
      <c r="H131" s="13" t="s">
        <v>217</v>
      </c>
      <c r="I131" s="14"/>
      <c r="J131" s="14"/>
      <c r="K131" s="13" t="s">
        <v>218</v>
      </c>
      <c r="L131" s="14"/>
      <c r="M131" s="14"/>
      <c r="N131" s="13" t="s">
        <v>219</v>
      </c>
      <c r="O131" s="14"/>
      <c r="P131" s="14"/>
      <c r="Q131" s="16"/>
      <c r="R131" s="15"/>
      <c r="S131" s="15"/>
    </row>
    <row r="132">
      <c r="A132" s="4"/>
      <c r="B132" s="17"/>
      <c r="C132" s="17"/>
      <c r="D132" s="24"/>
      <c r="E132" s="28">
        <v>0.0</v>
      </c>
      <c r="F132" s="20" t="s">
        <v>10</v>
      </c>
      <c r="G132" s="21">
        <v>1.0</v>
      </c>
      <c r="H132" s="28">
        <v>0.0</v>
      </c>
      <c r="I132" s="20" t="s">
        <v>10</v>
      </c>
      <c r="J132" s="21">
        <v>5.0</v>
      </c>
      <c r="K132" s="28">
        <v>10.0</v>
      </c>
      <c r="L132" s="20" t="s">
        <v>10</v>
      </c>
      <c r="M132" s="21">
        <v>10.0</v>
      </c>
      <c r="N132" s="28">
        <v>20.0</v>
      </c>
      <c r="O132" s="20" t="s">
        <v>10</v>
      </c>
      <c r="P132" s="21">
        <v>20.0</v>
      </c>
      <c r="Q132" s="23"/>
      <c r="R132" s="22"/>
      <c r="S132" s="22"/>
    </row>
    <row r="133">
      <c r="A133" s="4"/>
      <c r="B133" s="6" t="s">
        <v>220</v>
      </c>
      <c r="C133" s="12" t="str">
        <f>IF(E134/G134=1, "✔️", "❌")</f>
        <v>✔️</v>
      </c>
      <c r="D133" s="2"/>
      <c r="E133" s="2" t="s">
        <v>221</v>
      </c>
      <c r="H133" s="4"/>
      <c r="I133" s="3"/>
      <c r="J133" s="3"/>
      <c r="K133" s="4"/>
      <c r="L133" s="3"/>
      <c r="M133" s="3"/>
      <c r="N133" s="4"/>
      <c r="O133" s="3"/>
      <c r="P133" s="4"/>
      <c r="Q133" s="3"/>
      <c r="R133" s="4"/>
      <c r="S133" s="4"/>
    </row>
    <row r="134">
      <c r="A134" s="4"/>
      <c r="C134" s="17"/>
      <c r="D134" s="2"/>
      <c r="E134" s="1">
        <v>20.0</v>
      </c>
      <c r="F134" s="9" t="s">
        <v>10</v>
      </c>
      <c r="G134" s="10">
        <v>20.0</v>
      </c>
      <c r="H134" s="1"/>
      <c r="I134" s="2"/>
      <c r="J134" s="2"/>
      <c r="K134" s="1"/>
      <c r="L134" s="2"/>
      <c r="M134" s="2"/>
      <c r="N134" s="4"/>
      <c r="O134" s="3"/>
      <c r="P134" s="4"/>
      <c r="Q134" s="3"/>
      <c r="R134" s="4"/>
      <c r="S134" s="4"/>
    </row>
    <row r="135">
      <c r="A135" s="4"/>
      <c r="B135" s="11" t="s">
        <v>222</v>
      </c>
      <c r="C135" s="12" t="str">
        <f>IF(AND(E136/G136=1, H136/J136=1, K136/M136=1), "✔️", "❌")</f>
        <v>❌</v>
      </c>
      <c r="D135" s="13"/>
      <c r="E135" s="13" t="s">
        <v>223</v>
      </c>
      <c r="F135" s="14"/>
      <c r="G135" s="14"/>
      <c r="H135" s="13" t="s">
        <v>224</v>
      </c>
      <c r="I135" s="14"/>
      <c r="J135" s="14"/>
      <c r="K135" s="13" t="s">
        <v>225</v>
      </c>
      <c r="L135" s="14"/>
      <c r="M135" s="14"/>
      <c r="N135" s="15"/>
      <c r="O135" s="16"/>
      <c r="P135" s="15"/>
      <c r="Q135" s="16"/>
      <c r="R135" s="15"/>
      <c r="S135" s="15"/>
    </row>
    <row r="136">
      <c r="A136" s="4"/>
      <c r="B136" s="17"/>
      <c r="C136" s="17"/>
      <c r="D136" s="24"/>
      <c r="E136" s="28">
        <v>10.0</v>
      </c>
      <c r="F136" s="20" t="s">
        <v>10</v>
      </c>
      <c r="G136" s="21">
        <v>10.0</v>
      </c>
      <c r="H136" s="28">
        <v>0.0</v>
      </c>
      <c r="I136" s="20" t="s">
        <v>10</v>
      </c>
      <c r="J136" s="21">
        <v>30.0</v>
      </c>
      <c r="K136" s="28">
        <v>0.0</v>
      </c>
      <c r="L136" s="20" t="s">
        <v>10</v>
      </c>
      <c r="M136" s="21">
        <v>1.0</v>
      </c>
      <c r="N136" s="22"/>
      <c r="O136" s="23"/>
      <c r="P136" s="22"/>
      <c r="Q136" s="23"/>
      <c r="R136" s="22"/>
      <c r="S136" s="22"/>
    </row>
    <row r="137">
      <c r="A137" s="4"/>
      <c r="B137" s="6" t="s">
        <v>226</v>
      </c>
      <c r="C137" s="12" t="str">
        <f>IF(AND(E138/G138=1, H138/J138=1), "✔️", "❌")</f>
        <v>❌</v>
      </c>
      <c r="D137" s="2"/>
      <c r="E137" s="2" t="s">
        <v>227</v>
      </c>
      <c r="H137" s="2" t="s">
        <v>228</v>
      </c>
      <c r="K137" s="4"/>
      <c r="L137" s="3"/>
      <c r="M137" s="3"/>
      <c r="N137" s="4"/>
      <c r="O137" s="3"/>
      <c r="P137" s="4"/>
      <c r="Q137" s="3"/>
      <c r="R137" s="4"/>
      <c r="S137" s="4"/>
    </row>
    <row r="138">
      <c r="A138" s="4"/>
      <c r="C138" s="17"/>
      <c r="D138" s="2"/>
      <c r="E138" s="1">
        <v>0.0</v>
      </c>
      <c r="F138" s="9" t="s">
        <v>10</v>
      </c>
      <c r="G138" s="10">
        <v>30.0</v>
      </c>
      <c r="H138" s="1">
        <v>0.0</v>
      </c>
      <c r="I138" s="9" t="s">
        <v>10</v>
      </c>
      <c r="J138" s="10">
        <v>3000.0</v>
      </c>
      <c r="K138" s="4"/>
      <c r="L138" s="3"/>
      <c r="M138" s="3"/>
      <c r="N138" s="4"/>
      <c r="O138" s="3"/>
      <c r="P138" s="4"/>
      <c r="Q138" s="3"/>
      <c r="R138" s="4"/>
      <c r="S138" s="4"/>
    </row>
    <row r="139">
      <c r="A139" s="4"/>
      <c r="B139" s="11" t="s">
        <v>229</v>
      </c>
      <c r="C139" s="12" t="str">
        <f>IF(AND(E140/G140=1, H140/J140=1), "✔️", "❌")</f>
        <v>✔️</v>
      </c>
      <c r="D139" s="13"/>
      <c r="E139" s="13" t="s">
        <v>230</v>
      </c>
      <c r="F139" s="14"/>
      <c r="G139" s="14"/>
      <c r="H139" s="13" t="s">
        <v>231</v>
      </c>
      <c r="I139" s="14"/>
      <c r="J139" s="14"/>
      <c r="K139" s="15"/>
      <c r="L139" s="16"/>
      <c r="M139" s="16"/>
      <c r="N139" s="15"/>
      <c r="O139" s="16"/>
      <c r="P139" s="15"/>
      <c r="Q139" s="16"/>
      <c r="R139" s="15"/>
      <c r="S139" s="15"/>
    </row>
    <row r="140">
      <c r="A140" s="4"/>
      <c r="B140" s="17"/>
      <c r="C140" s="17"/>
      <c r="D140" s="24"/>
      <c r="E140" s="28">
        <v>10.0</v>
      </c>
      <c r="F140" s="20" t="s">
        <v>10</v>
      </c>
      <c r="G140" s="21">
        <v>10.0</v>
      </c>
      <c r="H140" s="28">
        <v>300.0</v>
      </c>
      <c r="I140" s="20" t="s">
        <v>10</v>
      </c>
      <c r="J140" s="21">
        <v>300.0</v>
      </c>
      <c r="K140" s="22"/>
      <c r="L140" s="23"/>
      <c r="M140" s="23"/>
      <c r="N140" s="22"/>
      <c r="O140" s="23"/>
      <c r="P140" s="22"/>
      <c r="Q140" s="23"/>
      <c r="R140" s="22"/>
      <c r="S140" s="22"/>
    </row>
    <row r="141">
      <c r="A141" s="4"/>
      <c r="B141" s="6" t="s">
        <v>232</v>
      </c>
      <c r="C141" s="12" t="str">
        <f>IF(AND(E142/G142=1, H142/J142=1), "✔️", "❌")</f>
        <v>❌</v>
      </c>
      <c r="D141" s="2"/>
      <c r="E141" s="2" t="s">
        <v>233</v>
      </c>
      <c r="H141" s="2" t="s">
        <v>234</v>
      </c>
      <c r="K141" s="4"/>
      <c r="L141" s="3"/>
      <c r="M141" s="3"/>
      <c r="N141" s="4"/>
      <c r="O141" s="3"/>
      <c r="P141" s="4"/>
      <c r="Q141" s="3"/>
      <c r="R141" s="4"/>
      <c r="S141" s="4"/>
    </row>
    <row r="142">
      <c r="A142" s="4"/>
      <c r="C142" s="17"/>
      <c r="D142" s="2"/>
      <c r="E142" s="1">
        <v>0.0</v>
      </c>
      <c r="F142" s="9" t="s">
        <v>10</v>
      </c>
      <c r="G142" s="10">
        <v>15.0</v>
      </c>
      <c r="H142" s="1">
        <v>35.0</v>
      </c>
      <c r="I142" s="9" t="s">
        <v>10</v>
      </c>
      <c r="J142" s="10">
        <v>600.0</v>
      </c>
      <c r="K142" s="4"/>
      <c r="L142" s="3"/>
      <c r="M142" s="3"/>
      <c r="N142" s="4"/>
      <c r="O142" s="3"/>
      <c r="P142" s="4"/>
      <c r="Q142" s="3"/>
      <c r="R142" s="4"/>
      <c r="S142" s="4"/>
    </row>
    <row r="143">
      <c r="A143" s="4"/>
      <c r="B143" s="11" t="s">
        <v>235</v>
      </c>
      <c r="C143" s="12" t="str">
        <f>IF(AND(E144/G144=1, H144/J144=1), "✔️", "❌")</f>
        <v>❌</v>
      </c>
      <c r="D143" s="13"/>
      <c r="E143" s="13" t="s">
        <v>236</v>
      </c>
      <c r="F143" s="14"/>
      <c r="G143" s="14"/>
      <c r="H143" s="13" t="s">
        <v>237</v>
      </c>
      <c r="I143" s="14"/>
      <c r="J143" s="14"/>
      <c r="K143" s="15"/>
      <c r="L143" s="16"/>
      <c r="M143" s="16"/>
      <c r="N143" s="15"/>
      <c r="O143" s="16"/>
      <c r="P143" s="15"/>
      <c r="Q143" s="16"/>
      <c r="R143" s="15"/>
      <c r="S143" s="15"/>
    </row>
    <row r="144">
      <c r="A144" s="4"/>
      <c r="B144" s="17"/>
      <c r="C144" s="17"/>
      <c r="D144" s="24"/>
      <c r="E144" s="28">
        <v>0.0</v>
      </c>
      <c r="F144" s="20" t="s">
        <v>10</v>
      </c>
      <c r="G144" s="21">
        <v>10.0</v>
      </c>
      <c r="H144" s="28">
        <v>0.0</v>
      </c>
      <c r="I144" s="20" t="s">
        <v>10</v>
      </c>
      <c r="J144" s="21">
        <v>25.0</v>
      </c>
      <c r="K144" s="22"/>
      <c r="L144" s="23"/>
      <c r="M144" s="23"/>
      <c r="N144" s="22"/>
      <c r="O144" s="23"/>
      <c r="P144" s="22"/>
      <c r="Q144" s="23"/>
      <c r="R144" s="22"/>
      <c r="S144" s="22"/>
    </row>
    <row r="145">
      <c r="A145" s="4"/>
      <c r="B145" s="6" t="s">
        <v>238</v>
      </c>
      <c r="C145" s="12" t="str">
        <f>IF(AND(E146/G146=1, H146/J146=1), "✔️", "❌")</f>
        <v>❌</v>
      </c>
      <c r="D145" s="2"/>
      <c r="E145" s="2" t="s">
        <v>239</v>
      </c>
      <c r="H145" s="2" t="s">
        <v>240</v>
      </c>
      <c r="K145" s="4"/>
      <c r="L145" s="3"/>
      <c r="M145" s="3"/>
      <c r="N145" s="4"/>
      <c r="O145" s="3"/>
      <c r="P145" s="4"/>
      <c r="Q145" s="3"/>
      <c r="R145" s="4"/>
      <c r="S145" s="4"/>
    </row>
    <row r="146">
      <c r="A146" s="4"/>
      <c r="B146" s="17"/>
      <c r="C146" s="17"/>
      <c r="D146" s="23"/>
      <c r="E146" s="28">
        <v>0.0</v>
      </c>
      <c r="F146" s="20" t="s">
        <v>10</v>
      </c>
      <c r="G146" s="21">
        <v>25.0</v>
      </c>
      <c r="H146" s="28">
        <v>1.0</v>
      </c>
      <c r="I146" s="20" t="s">
        <v>10</v>
      </c>
      <c r="J146" s="21">
        <v>300.0</v>
      </c>
      <c r="K146" s="22"/>
      <c r="L146" s="23"/>
      <c r="M146" s="23"/>
      <c r="N146" s="22"/>
      <c r="O146" s="23"/>
      <c r="P146" s="22"/>
      <c r="Q146" s="23"/>
      <c r="R146" s="22"/>
      <c r="S146" s="22"/>
    </row>
    <row r="147">
      <c r="A147" s="43"/>
      <c r="B147" s="35"/>
      <c r="C147" s="35"/>
      <c r="D147" s="36"/>
      <c r="E147" s="35"/>
      <c r="F147" s="36"/>
      <c r="G147" s="36"/>
      <c r="H147" s="35"/>
      <c r="I147" s="36"/>
      <c r="J147" s="36"/>
      <c r="K147" s="35"/>
      <c r="L147" s="36"/>
      <c r="M147" s="36"/>
      <c r="N147" s="35"/>
      <c r="O147" s="36"/>
      <c r="P147" s="35"/>
      <c r="Q147" s="36"/>
      <c r="R147" s="35"/>
      <c r="S147" s="35"/>
    </row>
    <row r="148">
      <c r="A148" s="5" t="s">
        <v>241</v>
      </c>
      <c r="B148" s="11" t="s">
        <v>242</v>
      </c>
      <c r="C148" s="12" t="str">
        <f>IF(AND(E149/G149=1, H149/J149=1, K149/M149=1), "✔️", "❌")</f>
        <v>✔️</v>
      </c>
      <c r="D148" s="13" t="s">
        <v>7</v>
      </c>
      <c r="E148" s="13" t="s">
        <v>243</v>
      </c>
      <c r="F148" s="14"/>
      <c r="G148" s="14"/>
      <c r="H148" s="13" t="s">
        <v>244</v>
      </c>
      <c r="I148" s="14"/>
      <c r="J148" s="14"/>
      <c r="K148" s="13" t="s">
        <v>245</v>
      </c>
      <c r="L148" s="14"/>
      <c r="M148" s="14"/>
      <c r="N148" s="15"/>
      <c r="O148" s="16"/>
      <c r="P148" s="15"/>
      <c r="Q148" s="16"/>
      <c r="R148" s="15"/>
      <c r="S148" s="15"/>
    </row>
    <row r="149">
      <c r="B149" s="17"/>
      <c r="C149" s="17"/>
      <c r="D149" s="24"/>
      <c r="E149" s="28">
        <v>50.0</v>
      </c>
      <c r="F149" s="20" t="s">
        <v>10</v>
      </c>
      <c r="G149" s="21">
        <v>50.0</v>
      </c>
      <c r="H149" s="28">
        <v>200.0</v>
      </c>
      <c r="I149" s="20" t="s">
        <v>10</v>
      </c>
      <c r="J149" s="21">
        <v>200.0</v>
      </c>
      <c r="K149" s="28">
        <v>10.0</v>
      </c>
      <c r="L149" s="20" t="s">
        <v>10</v>
      </c>
      <c r="M149" s="21">
        <v>10.0</v>
      </c>
      <c r="N149" s="22"/>
      <c r="O149" s="23"/>
      <c r="P149" s="22"/>
      <c r="Q149" s="23"/>
      <c r="R149" s="22"/>
      <c r="S149" s="22"/>
    </row>
    <row r="150">
      <c r="B150" s="6" t="s">
        <v>246</v>
      </c>
      <c r="C150" s="12" t="str">
        <f>IF(AND(E151/G151=1, H151/J151=1, K151/M151=1), "✔️", "❌")</f>
        <v>❌</v>
      </c>
      <c r="D150" s="2" t="s">
        <v>7</v>
      </c>
      <c r="E150" s="2" t="s">
        <v>34</v>
      </c>
      <c r="H150" s="2" t="s">
        <v>247</v>
      </c>
      <c r="K150" s="2" t="s">
        <v>248</v>
      </c>
      <c r="N150" s="4"/>
      <c r="O150" s="3"/>
      <c r="P150" s="4"/>
      <c r="Q150" s="3"/>
      <c r="R150" s="4"/>
      <c r="S150" s="4"/>
    </row>
    <row r="151">
      <c r="A151" s="5" t="s">
        <v>18</v>
      </c>
      <c r="C151" s="17"/>
      <c r="D151" s="2"/>
      <c r="E151" s="1">
        <v>10.0</v>
      </c>
      <c r="F151" s="9" t="s">
        <v>10</v>
      </c>
      <c r="G151" s="10">
        <v>10.0</v>
      </c>
      <c r="H151" s="1">
        <v>42.0</v>
      </c>
      <c r="I151" s="9" t="s">
        <v>10</v>
      </c>
      <c r="J151" s="10">
        <v>50.0</v>
      </c>
      <c r="K151" s="1">
        <v>200.0</v>
      </c>
      <c r="L151" s="9" t="s">
        <v>10</v>
      </c>
      <c r="M151" s="10">
        <v>200.0</v>
      </c>
      <c r="N151" s="4"/>
      <c r="O151" s="3"/>
      <c r="P151" s="4"/>
      <c r="Q151" s="3"/>
      <c r="R151" s="4"/>
      <c r="S151" s="4"/>
    </row>
    <row r="152">
      <c r="B152" s="11" t="s">
        <v>249</v>
      </c>
      <c r="C152" s="12" t="str">
        <f>IF(AND(E153/G153=1, H153/J153=1, K153/M153=1), "✔️", "❌")</f>
        <v>❌</v>
      </c>
      <c r="D152" s="13" t="s">
        <v>7</v>
      </c>
      <c r="E152" s="13" t="s">
        <v>250</v>
      </c>
      <c r="F152" s="14"/>
      <c r="G152" s="14"/>
      <c r="H152" s="13" t="s">
        <v>251</v>
      </c>
      <c r="I152" s="14"/>
      <c r="J152" s="14"/>
      <c r="K152" s="13" t="s">
        <v>252</v>
      </c>
      <c r="L152" s="14"/>
      <c r="M152" s="14"/>
      <c r="N152" s="15"/>
      <c r="O152" s="16"/>
      <c r="P152" s="15"/>
      <c r="Q152" s="16"/>
      <c r="R152" s="15"/>
      <c r="S152" s="15"/>
    </row>
    <row r="153">
      <c r="B153" s="17"/>
      <c r="C153" s="17"/>
      <c r="D153" s="24"/>
      <c r="E153" s="28">
        <v>26.0</v>
      </c>
      <c r="F153" s="20" t="s">
        <v>10</v>
      </c>
      <c r="G153" s="21">
        <v>50.0</v>
      </c>
      <c r="H153" s="28">
        <v>200.0</v>
      </c>
      <c r="I153" s="20" t="s">
        <v>10</v>
      </c>
      <c r="J153" s="21">
        <v>200.0</v>
      </c>
      <c r="K153" s="28">
        <v>10.0</v>
      </c>
      <c r="L153" s="20" t="s">
        <v>10</v>
      </c>
      <c r="M153" s="21">
        <v>10.0</v>
      </c>
      <c r="N153" s="22"/>
      <c r="O153" s="23"/>
      <c r="P153" s="22"/>
      <c r="Q153" s="23"/>
      <c r="R153" s="22"/>
      <c r="S153" s="22"/>
    </row>
    <row r="154">
      <c r="A154" s="5" t="s">
        <v>146</v>
      </c>
      <c r="B154" s="6" t="s">
        <v>253</v>
      </c>
      <c r="C154" s="12" t="str">
        <f>IF(AND(E155/G155=1, H155/J155=1, K155/M155=1), "✔️", "❌")</f>
        <v>✔️</v>
      </c>
      <c r="D154" s="2" t="s">
        <v>7</v>
      </c>
      <c r="E154" s="2" t="s">
        <v>254</v>
      </c>
      <c r="H154" s="2" t="s">
        <v>255</v>
      </c>
      <c r="K154" s="2" t="s">
        <v>256</v>
      </c>
      <c r="N154" s="4"/>
      <c r="O154" s="3"/>
      <c r="P154" s="4"/>
      <c r="Q154" s="3"/>
      <c r="R154" s="4"/>
      <c r="S154" s="4"/>
    </row>
    <row r="155">
      <c r="C155" s="17"/>
      <c r="D155" s="2"/>
      <c r="E155" s="1">
        <v>50.0</v>
      </c>
      <c r="F155" s="9" t="s">
        <v>10</v>
      </c>
      <c r="G155" s="10">
        <v>50.0</v>
      </c>
      <c r="H155" s="1">
        <v>200.0</v>
      </c>
      <c r="I155" s="9" t="s">
        <v>10</v>
      </c>
      <c r="J155" s="10">
        <v>200.0</v>
      </c>
      <c r="K155" s="1">
        <v>10.0</v>
      </c>
      <c r="L155" s="9" t="s">
        <v>10</v>
      </c>
      <c r="M155" s="10">
        <v>10.0</v>
      </c>
      <c r="N155" s="4"/>
      <c r="O155" s="3"/>
      <c r="P155" s="4"/>
      <c r="Q155" s="3"/>
      <c r="R155" s="4"/>
      <c r="S155" s="4"/>
    </row>
    <row r="156">
      <c r="B156" s="11" t="s">
        <v>257</v>
      </c>
      <c r="C156" s="12" t="str">
        <f>IF(AND(E157/G157=1, H157/J157=1, K157/M157=1), "✔️", "❌")</f>
        <v>❌</v>
      </c>
      <c r="D156" s="13" t="s">
        <v>7</v>
      </c>
      <c r="E156" s="13" t="s">
        <v>258</v>
      </c>
      <c r="F156" s="14"/>
      <c r="G156" s="14"/>
      <c r="H156" s="13" t="s">
        <v>259</v>
      </c>
      <c r="I156" s="14"/>
      <c r="J156" s="14"/>
      <c r="K156" s="13" t="s">
        <v>260</v>
      </c>
      <c r="L156" s="14"/>
      <c r="M156" s="14"/>
      <c r="N156" s="15"/>
      <c r="O156" s="16"/>
      <c r="P156" s="15"/>
      <c r="Q156" s="16"/>
      <c r="R156" s="15"/>
      <c r="S156" s="15"/>
    </row>
    <row r="157">
      <c r="A157" s="5" t="s">
        <v>261</v>
      </c>
      <c r="B157" s="17"/>
      <c r="C157" s="17"/>
      <c r="D157" s="24"/>
      <c r="E157" s="28">
        <v>0.0</v>
      </c>
      <c r="F157" s="20" t="s">
        <v>10</v>
      </c>
      <c r="G157" s="21">
        <v>30.0</v>
      </c>
      <c r="H157" s="28">
        <v>0.0</v>
      </c>
      <c r="I157" s="20" t="s">
        <v>10</v>
      </c>
      <c r="J157" s="21">
        <v>10.0</v>
      </c>
      <c r="K157" s="28">
        <v>0.0</v>
      </c>
      <c r="L157" s="20" t="s">
        <v>10</v>
      </c>
      <c r="M157" s="21">
        <v>50.0</v>
      </c>
      <c r="N157" s="22"/>
      <c r="O157" s="23"/>
      <c r="P157" s="22"/>
      <c r="Q157" s="23"/>
      <c r="R157" s="22"/>
      <c r="S157" s="22"/>
    </row>
    <row r="158">
      <c r="B158" s="6" t="s">
        <v>262</v>
      </c>
      <c r="C158" s="12" t="str">
        <f>IF(AND(E159/G159=1, H159/J159=1, K159/M159=1), "✔️", "❌")</f>
        <v>❌</v>
      </c>
      <c r="D158" s="2" t="s">
        <v>7</v>
      </c>
      <c r="E158" s="2" t="s">
        <v>263</v>
      </c>
      <c r="H158" s="2" t="s">
        <v>264</v>
      </c>
      <c r="K158" s="2" t="s">
        <v>265</v>
      </c>
      <c r="N158" s="4"/>
      <c r="O158" s="3"/>
      <c r="P158" s="4"/>
      <c r="Q158" s="3"/>
      <c r="R158" s="4"/>
      <c r="S158" s="4"/>
    </row>
    <row r="159">
      <c r="A159" s="17"/>
      <c r="C159" s="17"/>
      <c r="D159" s="2"/>
      <c r="E159" s="1">
        <v>10.0</v>
      </c>
      <c r="F159" s="9" t="s">
        <v>10</v>
      </c>
      <c r="G159" s="10">
        <v>10.0</v>
      </c>
      <c r="H159" s="1">
        <v>5.0</v>
      </c>
      <c r="I159" s="9" t="s">
        <v>10</v>
      </c>
      <c r="J159" s="10">
        <v>5.0</v>
      </c>
      <c r="K159" s="1">
        <v>0.0</v>
      </c>
      <c r="L159" s="9" t="s">
        <v>10</v>
      </c>
      <c r="M159" s="10">
        <v>3.0</v>
      </c>
      <c r="N159" s="4"/>
      <c r="O159" s="3"/>
      <c r="P159" s="4"/>
      <c r="Q159" s="3"/>
      <c r="R159" s="4"/>
      <c r="S159" s="4"/>
    </row>
    <row r="160">
      <c r="A160" s="25">
        <f>COUNTIF(C148:C188, "✔️")</f>
        <v>4</v>
      </c>
      <c r="B160" s="11" t="s">
        <v>266</v>
      </c>
      <c r="C160" s="12" t="str">
        <f>IF(AND(E161/G161=1, H161/J161=1, K161/M161=1), "✔️", "❌")</f>
        <v>❌</v>
      </c>
      <c r="D160" s="13" t="s">
        <v>7</v>
      </c>
      <c r="E160" s="13" t="s">
        <v>267</v>
      </c>
      <c r="F160" s="14"/>
      <c r="G160" s="14"/>
      <c r="H160" s="13" t="s">
        <v>268</v>
      </c>
      <c r="I160" s="14"/>
      <c r="J160" s="14"/>
      <c r="K160" s="13" t="s">
        <v>269</v>
      </c>
      <c r="L160" s="14"/>
      <c r="M160" s="14"/>
      <c r="N160" s="15"/>
      <c r="O160" s="16"/>
      <c r="P160" s="15"/>
      <c r="Q160" s="16"/>
      <c r="R160" s="15"/>
      <c r="S160" s="15"/>
    </row>
    <row r="161">
      <c r="A161" s="37" t="s">
        <v>10</v>
      </c>
      <c r="B161" s="17"/>
      <c r="C161" s="17"/>
      <c r="D161" s="24"/>
      <c r="E161" s="28">
        <v>0.0</v>
      </c>
      <c r="F161" s="20" t="s">
        <v>10</v>
      </c>
      <c r="G161" s="21">
        <v>1.0</v>
      </c>
      <c r="H161" s="28">
        <v>0.0</v>
      </c>
      <c r="I161" s="20" t="s">
        <v>10</v>
      </c>
      <c r="J161" s="21">
        <v>1.0</v>
      </c>
      <c r="K161" s="28">
        <v>1.0</v>
      </c>
      <c r="L161" s="20" t="s">
        <v>10</v>
      </c>
      <c r="M161" s="21">
        <v>1.0</v>
      </c>
      <c r="N161" s="22"/>
      <c r="O161" s="23"/>
      <c r="P161" s="22"/>
      <c r="Q161" s="23"/>
      <c r="R161" s="22"/>
      <c r="S161" s="22"/>
    </row>
    <row r="162">
      <c r="B162" s="6" t="s">
        <v>270</v>
      </c>
      <c r="C162" s="12" t="str">
        <f>IF(AND(E163/G163=1, H163/J163=1, K163/M163=1), "✔️", "❌")</f>
        <v>❌</v>
      </c>
      <c r="D162" s="2" t="s">
        <v>7</v>
      </c>
      <c r="E162" s="2" t="s">
        <v>271</v>
      </c>
      <c r="H162" s="2" t="s">
        <v>272</v>
      </c>
      <c r="K162" s="2" t="s">
        <v>273</v>
      </c>
      <c r="N162" s="4"/>
      <c r="O162" s="3"/>
      <c r="P162" s="4"/>
      <c r="Q162" s="3"/>
      <c r="R162" s="4"/>
      <c r="S162" s="4"/>
    </row>
    <row r="163">
      <c r="A163" s="38">
        <v>21.0</v>
      </c>
      <c r="C163" s="17"/>
      <c r="D163" s="2"/>
      <c r="E163" s="1">
        <v>0.0</v>
      </c>
      <c r="F163" s="9" t="s">
        <v>10</v>
      </c>
      <c r="G163" s="10">
        <v>1.0</v>
      </c>
      <c r="H163" s="1">
        <v>0.0</v>
      </c>
      <c r="I163" s="9" t="s">
        <v>10</v>
      </c>
      <c r="J163" s="10">
        <v>1.0</v>
      </c>
      <c r="K163" s="1">
        <v>0.0</v>
      </c>
      <c r="L163" s="9" t="s">
        <v>10</v>
      </c>
      <c r="M163" s="10">
        <v>5.0</v>
      </c>
      <c r="N163" s="4"/>
      <c r="O163" s="3"/>
      <c r="P163" s="4"/>
      <c r="Q163" s="3"/>
      <c r="R163" s="4"/>
      <c r="S163" s="4"/>
    </row>
    <row r="164">
      <c r="A164" s="5"/>
      <c r="B164" s="11" t="s">
        <v>274</v>
      </c>
      <c r="C164" s="12" t="str">
        <f>IF(AND(E165/G165=1, H165/J165=1), "✔️", "❌")</f>
        <v>✔️</v>
      </c>
      <c r="D164" s="13" t="s">
        <v>7</v>
      </c>
      <c r="E164" s="13" t="s">
        <v>275</v>
      </c>
      <c r="F164" s="14"/>
      <c r="G164" s="14"/>
      <c r="H164" s="13" t="s">
        <v>276</v>
      </c>
      <c r="I164" s="14"/>
      <c r="J164" s="14"/>
      <c r="K164" s="15"/>
      <c r="L164" s="16"/>
      <c r="M164" s="16"/>
      <c r="N164" s="15"/>
      <c r="O164" s="16"/>
      <c r="P164" s="15"/>
      <c r="Q164" s="16"/>
      <c r="R164" s="15"/>
      <c r="S164" s="15"/>
    </row>
    <row r="165">
      <c r="A165" s="5"/>
      <c r="B165" s="17"/>
      <c r="C165" s="17"/>
      <c r="D165" s="24"/>
      <c r="E165" s="28">
        <v>30.0</v>
      </c>
      <c r="F165" s="20" t="s">
        <v>10</v>
      </c>
      <c r="G165" s="21">
        <v>30.0</v>
      </c>
      <c r="H165" s="28">
        <v>10.0</v>
      </c>
      <c r="I165" s="20" t="s">
        <v>10</v>
      </c>
      <c r="J165" s="21">
        <v>10.0</v>
      </c>
      <c r="K165" s="28"/>
      <c r="L165" s="24"/>
      <c r="M165" s="24"/>
      <c r="N165" s="22"/>
      <c r="O165" s="23"/>
      <c r="P165" s="22"/>
      <c r="Q165" s="23"/>
      <c r="R165" s="22"/>
      <c r="S165" s="22"/>
    </row>
    <row r="166">
      <c r="A166" s="5"/>
      <c r="B166" s="6" t="s">
        <v>277</v>
      </c>
      <c r="C166" s="12" t="str">
        <f>IF(AND(E167/G167=1, H167/J167=1, K167/M167=1), "✔️", "❌")</f>
        <v>❌</v>
      </c>
      <c r="D166" s="2" t="s">
        <v>7</v>
      </c>
      <c r="E166" s="2" t="s">
        <v>278</v>
      </c>
      <c r="H166" s="2" t="s">
        <v>279</v>
      </c>
      <c r="K166" s="2" t="s">
        <v>280</v>
      </c>
      <c r="N166" s="4"/>
      <c r="O166" s="3"/>
      <c r="P166" s="4"/>
      <c r="Q166" s="3"/>
      <c r="R166" s="4"/>
      <c r="S166" s="4"/>
    </row>
    <row r="167">
      <c r="A167" s="5"/>
      <c r="C167" s="17"/>
      <c r="D167" s="2"/>
      <c r="E167" s="1">
        <v>0.0</v>
      </c>
      <c r="F167" s="9" t="s">
        <v>10</v>
      </c>
      <c r="G167" s="10">
        <v>50.0</v>
      </c>
      <c r="H167" s="1">
        <v>0.0</v>
      </c>
      <c r="I167" s="9" t="s">
        <v>10</v>
      </c>
      <c r="J167" s="10">
        <v>50.0</v>
      </c>
      <c r="K167" s="1">
        <v>38.0</v>
      </c>
      <c r="L167" s="9" t="s">
        <v>10</v>
      </c>
      <c r="M167" s="10">
        <v>50.0</v>
      </c>
      <c r="N167" s="4"/>
      <c r="O167" s="3"/>
      <c r="P167" s="4"/>
      <c r="Q167" s="3"/>
      <c r="R167" s="4"/>
      <c r="S167" s="4"/>
    </row>
    <row r="168">
      <c r="A168" s="5"/>
      <c r="B168" s="11" t="s">
        <v>281</v>
      </c>
      <c r="C168" s="12" t="str">
        <f>IF(AND(E169/G169=1, H169/J169=1, K169/M169=1), "✔️", "❌")</f>
        <v>✔️</v>
      </c>
      <c r="D168" s="13" t="s">
        <v>7</v>
      </c>
      <c r="E168" s="13" t="s">
        <v>282</v>
      </c>
      <c r="F168" s="14"/>
      <c r="G168" s="14"/>
      <c r="H168" s="13" t="s">
        <v>283</v>
      </c>
      <c r="I168" s="14"/>
      <c r="J168" s="14"/>
      <c r="K168" s="13" t="s">
        <v>284</v>
      </c>
      <c r="L168" s="14"/>
      <c r="M168" s="14"/>
      <c r="N168" s="15"/>
      <c r="O168" s="16"/>
      <c r="P168" s="15"/>
      <c r="Q168" s="16"/>
      <c r="R168" s="15"/>
      <c r="S168" s="15"/>
    </row>
    <row r="169">
      <c r="A169" s="5"/>
      <c r="B169" s="17"/>
      <c r="C169" s="17"/>
      <c r="D169" s="24"/>
      <c r="E169" s="28">
        <v>100.0</v>
      </c>
      <c r="F169" s="20" t="s">
        <v>10</v>
      </c>
      <c r="G169" s="21">
        <v>100.0</v>
      </c>
      <c r="H169" s="28">
        <v>50.0</v>
      </c>
      <c r="I169" s="20" t="s">
        <v>10</v>
      </c>
      <c r="J169" s="21">
        <v>50.0</v>
      </c>
      <c r="K169" s="28">
        <v>100.0</v>
      </c>
      <c r="L169" s="20" t="s">
        <v>10</v>
      </c>
      <c r="M169" s="21">
        <v>100.0</v>
      </c>
      <c r="N169" s="22"/>
      <c r="O169" s="23"/>
      <c r="P169" s="22"/>
      <c r="Q169" s="23"/>
      <c r="R169" s="22"/>
      <c r="S169" s="22"/>
    </row>
    <row r="170">
      <c r="A170" s="5"/>
      <c r="B170" s="6" t="s">
        <v>285</v>
      </c>
      <c r="C170" s="12" t="str">
        <f>IF(AND(E171/G171=1, H171/J171=1, K171/M171=1), "✔️", "❌")</f>
        <v>❌</v>
      </c>
      <c r="D170" s="2" t="s">
        <v>7</v>
      </c>
      <c r="E170" s="2" t="s">
        <v>286</v>
      </c>
      <c r="H170" s="2" t="s">
        <v>287</v>
      </c>
      <c r="K170" s="2" t="s">
        <v>288</v>
      </c>
      <c r="N170" s="4"/>
      <c r="O170" s="3"/>
      <c r="P170" s="4"/>
      <c r="Q170" s="3"/>
      <c r="R170" s="4"/>
      <c r="S170" s="4"/>
    </row>
    <row r="171">
      <c r="A171" s="4"/>
      <c r="C171" s="17"/>
      <c r="D171" s="2"/>
      <c r="E171" s="1">
        <v>1.0</v>
      </c>
      <c r="F171" s="9" t="s">
        <v>10</v>
      </c>
      <c r="G171" s="10">
        <v>50.0</v>
      </c>
      <c r="H171" s="1">
        <v>0.0</v>
      </c>
      <c r="I171" s="9" t="s">
        <v>10</v>
      </c>
      <c r="J171" s="10">
        <v>100.0</v>
      </c>
      <c r="K171" s="1">
        <v>0.0</v>
      </c>
      <c r="L171" s="9" t="s">
        <v>10</v>
      </c>
      <c r="M171" s="10">
        <v>50.0</v>
      </c>
      <c r="N171" s="4"/>
      <c r="O171" s="3"/>
      <c r="P171" s="4"/>
      <c r="Q171" s="3"/>
      <c r="R171" s="4"/>
      <c r="S171" s="4"/>
    </row>
    <row r="172">
      <c r="A172" s="4"/>
      <c r="B172" s="11" t="s">
        <v>289</v>
      </c>
      <c r="C172" s="12" t="str">
        <f>IF(AND(E173/G173=1, H173/J173=1, K173/M173=1), "✔️", "❌")</f>
        <v>❌</v>
      </c>
      <c r="D172" s="13" t="s">
        <v>7</v>
      </c>
      <c r="E172" s="13" t="s">
        <v>290</v>
      </c>
      <c r="F172" s="14"/>
      <c r="G172" s="14"/>
      <c r="H172" s="13" t="s">
        <v>291</v>
      </c>
      <c r="I172" s="14"/>
      <c r="J172" s="14"/>
      <c r="K172" s="13" t="s">
        <v>292</v>
      </c>
      <c r="L172" s="14"/>
      <c r="M172" s="14"/>
      <c r="N172" s="15"/>
      <c r="O172" s="16"/>
      <c r="P172" s="15"/>
      <c r="Q172" s="16"/>
      <c r="R172" s="15"/>
      <c r="S172" s="15"/>
    </row>
    <row r="173">
      <c r="A173" s="4"/>
      <c r="B173" s="17"/>
      <c r="C173" s="17"/>
      <c r="D173" s="24"/>
      <c r="E173" s="28">
        <v>0.0</v>
      </c>
      <c r="F173" s="20" t="s">
        <v>10</v>
      </c>
      <c r="G173" s="21">
        <v>50.0</v>
      </c>
      <c r="H173" s="28">
        <v>8.0</v>
      </c>
      <c r="I173" s="20" t="s">
        <v>10</v>
      </c>
      <c r="J173" s="21">
        <v>100.0</v>
      </c>
      <c r="K173" s="28">
        <v>0.0</v>
      </c>
      <c r="L173" s="20" t="s">
        <v>10</v>
      </c>
      <c r="M173" s="21">
        <v>50.0</v>
      </c>
      <c r="N173" s="22"/>
      <c r="O173" s="23"/>
      <c r="P173" s="22"/>
      <c r="Q173" s="23"/>
      <c r="R173" s="22"/>
      <c r="S173" s="22"/>
    </row>
    <row r="174">
      <c r="A174" s="4"/>
      <c r="B174" s="6" t="s">
        <v>293</v>
      </c>
      <c r="C174" s="12" t="str">
        <f>IF(AND(E175/G175=1, H175/J175=1, K175/M175=1), "✔️", "❌")</f>
        <v>❌</v>
      </c>
      <c r="D174" s="2" t="s">
        <v>7</v>
      </c>
      <c r="E174" s="2" t="s">
        <v>294</v>
      </c>
      <c r="H174" s="2" t="s">
        <v>295</v>
      </c>
      <c r="K174" s="2" t="s">
        <v>296</v>
      </c>
      <c r="N174" s="4"/>
      <c r="O174" s="3"/>
      <c r="P174" s="4"/>
      <c r="Q174" s="3"/>
      <c r="R174" s="4"/>
      <c r="S174" s="4"/>
    </row>
    <row r="175">
      <c r="A175" s="4"/>
      <c r="C175" s="17"/>
      <c r="D175" s="2"/>
      <c r="E175" s="1">
        <v>0.0</v>
      </c>
      <c r="F175" s="9" t="s">
        <v>10</v>
      </c>
      <c r="G175" s="10">
        <v>50.0</v>
      </c>
      <c r="H175" s="1">
        <v>8.0</v>
      </c>
      <c r="I175" s="9" t="s">
        <v>10</v>
      </c>
      <c r="J175" s="10">
        <v>100.0</v>
      </c>
      <c r="K175" s="1">
        <v>0.0</v>
      </c>
      <c r="L175" s="9" t="s">
        <v>10</v>
      </c>
      <c r="M175" s="10">
        <v>50.0</v>
      </c>
      <c r="N175" s="4"/>
      <c r="O175" s="3"/>
      <c r="P175" s="4"/>
      <c r="Q175" s="3"/>
      <c r="R175" s="4"/>
      <c r="S175" s="4"/>
    </row>
    <row r="176">
      <c r="A176" s="4"/>
      <c r="B176" s="11" t="s">
        <v>297</v>
      </c>
      <c r="C176" s="12" t="str">
        <f>IF(E177/G177=1, "✔️", "❌")</f>
        <v>❌</v>
      </c>
      <c r="D176" s="13" t="s">
        <v>7</v>
      </c>
      <c r="E176" s="13" t="s">
        <v>298</v>
      </c>
      <c r="F176" s="14"/>
      <c r="G176" s="14"/>
      <c r="H176" s="15"/>
      <c r="I176" s="16"/>
      <c r="J176" s="16"/>
      <c r="K176" s="15"/>
      <c r="L176" s="16"/>
      <c r="M176" s="16"/>
      <c r="N176" s="15"/>
      <c r="O176" s="16"/>
      <c r="P176" s="15"/>
      <c r="Q176" s="16"/>
      <c r="R176" s="15"/>
      <c r="S176" s="15"/>
    </row>
    <row r="177">
      <c r="A177" s="4"/>
      <c r="B177" s="17"/>
      <c r="C177" s="17"/>
      <c r="D177" s="24"/>
      <c r="E177" s="28">
        <v>0.0</v>
      </c>
      <c r="F177" s="20" t="s">
        <v>10</v>
      </c>
      <c r="G177" s="21">
        <v>50.0</v>
      </c>
      <c r="H177" s="28"/>
      <c r="I177" s="24"/>
      <c r="J177" s="24"/>
      <c r="K177" s="28"/>
      <c r="L177" s="24"/>
      <c r="M177" s="24"/>
      <c r="N177" s="22"/>
      <c r="O177" s="23"/>
      <c r="P177" s="22"/>
      <c r="Q177" s="23"/>
      <c r="R177" s="22"/>
      <c r="S177" s="22"/>
    </row>
    <row r="178">
      <c r="A178" s="4"/>
      <c r="B178" s="6" t="s">
        <v>299</v>
      </c>
      <c r="C178" s="12" t="str">
        <f>IF(AND(E179/G179=1, H179/J179=1, K179/M179=1), "✔️", "❌")</f>
        <v>❌</v>
      </c>
      <c r="D178" s="2"/>
      <c r="E178" s="2" t="s">
        <v>300</v>
      </c>
      <c r="H178" s="2" t="s">
        <v>301</v>
      </c>
      <c r="K178" s="2" t="s">
        <v>302</v>
      </c>
      <c r="N178" s="4"/>
      <c r="O178" s="3"/>
      <c r="P178" s="4"/>
      <c r="Q178" s="3"/>
      <c r="R178" s="4"/>
      <c r="S178" s="4"/>
    </row>
    <row r="179">
      <c r="A179" s="4"/>
      <c r="C179" s="17"/>
      <c r="D179" s="2"/>
      <c r="E179" s="1">
        <v>8.0</v>
      </c>
      <c r="F179" s="9" t="s">
        <v>10</v>
      </c>
      <c r="G179" s="10">
        <v>10.0</v>
      </c>
      <c r="H179" s="1">
        <v>0.0</v>
      </c>
      <c r="I179" s="9" t="s">
        <v>10</v>
      </c>
      <c r="J179" s="10">
        <v>1.0</v>
      </c>
      <c r="K179" s="1">
        <v>0.0</v>
      </c>
      <c r="L179" s="9" t="s">
        <v>10</v>
      </c>
      <c r="M179" s="10">
        <v>10.0</v>
      </c>
      <c r="N179" s="4"/>
      <c r="O179" s="3"/>
      <c r="P179" s="4"/>
      <c r="Q179" s="3"/>
      <c r="R179" s="4"/>
      <c r="S179" s="4"/>
    </row>
    <row r="180">
      <c r="A180" s="4"/>
      <c r="B180" s="11" t="s">
        <v>303</v>
      </c>
      <c r="C180" s="12" t="str">
        <f>IF(AND(E181/G181=1, H181/J181=1, K181/M181=1), "✔️", "❌")</f>
        <v>❌</v>
      </c>
      <c r="D180" s="13"/>
      <c r="E180" s="13" t="s">
        <v>304</v>
      </c>
      <c r="F180" s="14"/>
      <c r="G180" s="14"/>
      <c r="H180" s="13" t="s">
        <v>305</v>
      </c>
      <c r="I180" s="14"/>
      <c r="J180" s="14"/>
      <c r="K180" s="13" t="s">
        <v>306</v>
      </c>
      <c r="L180" s="14"/>
      <c r="M180" s="14"/>
      <c r="N180" s="15"/>
      <c r="O180" s="16"/>
      <c r="P180" s="15"/>
      <c r="Q180" s="16"/>
      <c r="R180" s="15"/>
      <c r="S180" s="15"/>
    </row>
    <row r="181">
      <c r="A181" s="4"/>
      <c r="B181" s="17"/>
      <c r="C181" s="17"/>
      <c r="D181" s="24"/>
      <c r="E181" s="28">
        <v>2.0</v>
      </c>
      <c r="F181" s="20" t="s">
        <v>10</v>
      </c>
      <c r="G181" s="21">
        <v>10.0</v>
      </c>
      <c r="H181" s="28">
        <v>5.0</v>
      </c>
      <c r="I181" s="20" t="s">
        <v>10</v>
      </c>
      <c r="J181" s="21">
        <v>5.0</v>
      </c>
      <c r="K181" s="28">
        <v>0.0</v>
      </c>
      <c r="L181" s="20" t="s">
        <v>10</v>
      </c>
      <c r="M181" s="21">
        <v>1.0</v>
      </c>
      <c r="N181" s="22"/>
      <c r="O181" s="23"/>
      <c r="P181" s="22"/>
      <c r="Q181" s="23"/>
      <c r="R181" s="22"/>
      <c r="S181" s="22"/>
    </row>
    <row r="182">
      <c r="A182" s="4"/>
      <c r="B182" s="6" t="s">
        <v>307</v>
      </c>
      <c r="C182" s="12" t="str">
        <f>IF(AND(E183/G183=1, H183/J183=1), "✔️", "❌")</f>
        <v>❌</v>
      </c>
      <c r="D182" s="2"/>
      <c r="E182" s="2" t="s">
        <v>308</v>
      </c>
      <c r="H182" s="2" t="s">
        <v>309</v>
      </c>
      <c r="K182" s="4"/>
      <c r="L182" s="3"/>
      <c r="M182" s="3"/>
      <c r="N182" s="4"/>
      <c r="O182" s="3"/>
      <c r="P182" s="4"/>
      <c r="Q182" s="3"/>
      <c r="R182" s="4"/>
      <c r="S182" s="4"/>
    </row>
    <row r="183">
      <c r="A183" s="4"/>
      <c r="C183" s="17"/>
      <c r="D183" s="2"/>
      <c r="E183" s="1">
        <v>4.0</v>
      </c>
      <c r="F183" s="9" t="s">
        <v>10</v>
      </c>
      <c r="G183" s="10">
        <v>10.0</v>
      </c>
      <c r="H183" s="1">
        <v>0.0</v>
      </c>
      <c r="I183" s="9" t="s">
        <v>10</v>
      </c>
      <c r="J183" s="10">
        <v>1.0</v>
      </c>
      <c r="K183" s="4"/>
      <c r="L183" s="3"/>
      <c r="M183" s="3"/>
      <c r="N183" s="4"/>
      <c r="O183" s="3"/>
      <c r="P183" s="4"/>
      <c r="Q183" s="3"/>
      <c r="R183" s="4"/>
      <c r="S183" s="4"/>
    </row>
    <row r="184">
      <c r="A184" s="4"/>
      <c r="B184" s="11" t="s">
        <v>310</v>
      </c>
      <c r="C184" s="12" t="str">
        <f>IF(E185/G185=1, "✔️", "❌")</f>
        <v>❌</v>
      </c>
      <c r="D184" s="13"/>
      <c r="E184" s="13" t="s">
        <v>311</v>
      </c>
      <c r="F184" s="14"/>
      <c r="G184" s="14"/>
      <c r="H184" s="15"/>
      <c r="I184" s="16"/>
      <c r="J184" s="16"/>
      <c r="K184" s="44"/>
      <c r="L184" s="44"/>
      <c r="M184" s="44"/>
      <c r="N184" s="15"/>
      <c r="O184" s="16"/>
      <c r="P184" s="15"/>
      <c r="Q184" s="16"/>
      <c r="R184" s="15"/>
      <c r="S184" s="15"/>
    </row>
    <row r="185">
      <c r="A185" s="4"/>
      <c r="B185" s="17"/>
      <c r="C185" s="17"/>
      <c r="D185" s="24"/>
      <c r="E185" s="28">
        <v>3.0</v>
      </c>
      <c r="F185" s="20" t="s">
        <v>10</v>
      </c>
      <c r="G185" s="21">
        <v>20.0</v>
      </c>
      <c r="H185" s="28"/>
      <c r="I185" s="24"/>
      <c r="J185" s="24"/>
      <c r="K185" s="31"/>
      <c r="L185" s="31"/>
      <c r="M185" s="31"/>
      <c r="N185" s="22"/>
      <c r="O185" s="23"/>
      <c r="P185" s="22"/>
      <c r="Q185" s="23"/>
      <c r="R185" s="22"/>
      <c r="S185" s="22"/>
    </row>
    <row r="186">
      <c r="A186" s="4"/>
      <c r="B186" s="6" t="s">
        <v>312</v>
      </c>
      <c r="C186" s="12" t="str">
        <f>IF(AND(E187/G187=1, H187/J187=1), "✔️", "❌")</f>
        <v>❌</v>
      </c>
      <c r="D186" s="2"/>
      <c r="E186" s="2" t="s">
        <v>313</v>
      </c>
      <c r="H186" s="2" t="s">
        <v>314</v>
      </c>
      <c r="K186" s="4"/>
      <c r="L186" s="3"/>
      <c r="M186" s="3"/>
      <c r="N186" s="4"/>
      <c r="O186" s="3"/>
      <c r="P186" s="4"/>
      <c r="Q186" s="3"/>
      <c r="R186" s="4"/>
      <c r="S186" s="4"/>
    </row>
    <row r="187">
      <c r="A187" s="4"/>
      <c r="C187" s="17"/>
      <c r="D187" s="2"/>
      <c r="E187" s="1">
        <v>3.0</v>
      </c>
      <c r="F187" s="9" t="s">
        <v>10</v>
      </c>
      <c r="G187" s="10">
        <v>10.0</v>
      </c>
      <c r="H187" s="1">
        <v>100.0</v>
      </c>
      <c r="I187" s="9" t="s">
        <v>10</v>
      </c>
      <c r="J187" s="10">
        <v>100.0</v>
      </c>
      <c r="K187" s="1"/>
      <c r="L187" s="2"/>
      <c r="M187" s="2"/>
      <c r="N187" s="1"/>
      <c r="O187" s="2"/>
      <c r="P187" s="1"/>
      <c r="Q187" s="29"/>
      <c r="R187" s="4"/>
      <c r="S187" s="4"/>
    </row>
    <row r="188">
      <c r="A188" s="4"/>
      <c r="B188" s="11" t="s">
        <v>315</v>
      </c>
      <c r="C188" s="12" t="str">
        <f>IF(AND(E189/G189=1, H189/J189=1, K189/M189=1, N189/P189=1, Q189/S189=1), "✔️", "❌")</f>
        <v>❌</v>
      </c>
      <c r="D188" s="13"/>
      <c r="E188" s="13" t="s">
        <v>316</v>
      </c>
      <c r="F188" s="14"/>
      <c r="G188" s="14"/>
      <c r="H188" s="13" t="s">
        <v>317</v>
      </c>
      <c r="I188" s="14"/>
      <c r="J188" s="14"/>
      <c r="K188" s="13" t="s">
        <v>318</v>
      </c>
      <c r="L188" s="14"/>
      <c r="M188" s="14"/>
      <c r="N188" s="13" t="s">
        <v>319</v>
      </c>
      <c r="O188" s="14"/>
      <c r="P188" s="14"/>
      <c r="Q188" s="13" t="s">
        <v>320</v>
      </c>
      <c r="R188" s="14"/>
      <c r="S188" s="14"/>
    </row>
    <row r="189">
      <c r="A189" s="4"/>
      <c r="B189" s="17"/>
      <c r="C189" s="17"/>
      <c r="D189" s="23"/>
      <c r="E189" s="28">
        <v>4.0</v>
      </c>
      <c r="F189" s="20" t="s">
        <v>10</v>
      </c>
      <c r="G189" s="21">
        <v>10.0</v>
      </c>
      <c r="H189" s="28">
        <v>3.0</v>
      </c>
      <c r="I189" s="20" t="s">
        <v>10</v>
      </c>
      <c r="J189" s="21">
        <v>10.0</v>
      </c>
      <c r="K189" s="28">
        <v>0.0</v>
      </c>
      <c r="L189" s="20" t="s">
        <v>10</v>
      </c>
      <c r="M189" s="21">
        <v>10.0</v>
      </c>
      <c r="N189" s="28">
        <v>0.0</v>
      </c>
      <c r="O189" s="20" t="s">
        <v>10</v>
      </c>
      <c r="P189" s="21">
        <v>10.0</v>
      </c>
      <c r="Q189" s="24">
        <v>3.0</v>
      </c>
      <c r="R189" s="20" t="s">
        <v>10</v>
      </c>
      <c r="S189" s="21">
        <v>10.0</v>
      </c>
    </row>
    <row r="190">
      <c r="A190" s="45"/>
      <c r="B190" s="45"/>
      <c r="C190" s="45"/>
      <c r="D190" s="46"/>
      <c r="E190" s="45"/>
      <c r="F190" s="46"/>
      <c r="G190" s="46"/>
      <c r="H190" s="45"/>
      <c r="I190" s="46"/>
      <c r="J190" s="46"/>
      <c r="K190" s="45"/>
      <c r="L190" s="46"/>
      <c r="M190" s="46"/>
      <c r="N190" s="45"/>
      <c r="O190" s="46"/>
      <c r="P190" s="45"/>
      <c r="Q190" s="46"/>
      <c r="R190" s="45"/>
      <c r="S190" s="45"/>
    </row>
    <row r="191">
      <c r="A191" s="4"/>
      <c r="B191" s="6" t="s">
        <v>321</v>
      </c>
      <c r="C191" s="7" t="str">
        <f>IF(AND(E192/G192=1, H192/J192=1, K192/M192=1, N192/P192=1, Q192/S192=1), "✔️", "❌")</f>
        <v>❌</v>
      </c>
      <c r="D191" s="2" t="s">
        <v>7</v>
      </c>
      <c r="E191" s="2" t="s">
        <v>322</v>
      </c>
      <c r="H191" s="2" t="s">
        <v>323</v>
      </c>
      <c r="K191" s="2" t="s">
        <v>324</v>
      </c>
      <c r="N191" s="2" t="s">
        <v>325</v>
      </c>
      <c r="Q191" s="2" t="s">
        <v>326</v>
      </c>
    </row>
    <row r="192">
      <c r="A192" s="4"/>
      <c r="B192" s="17"/>
      <c r="C192" s="17"/>
      <c r="D192" s="24"/>
      <c r="E192" s="28">
        <v>0.0</v>
      </c>
      <c r="F192" s="20" t="s">
        <v>10</v>
      </c>
      <c r="G192" s="21">
        <v>200.0</v>
      </c>
      <c r="H192" s="28">
        <v>0.0</v>
      </c>
      <c r="I192" s="20" t="s">
        <v>10</v>
      </c>
      <c r="J192" s="21">
        <v>50.0</v>
      </c>
      <c r="K192" s="28">
        <v>0.0</v>
      </c>
      <c r="L192" s="20" t="s">
        <v>10</v>
      </c>
      <c r="M192" s="21">
        <v>100.0</v>
      </c>
      <c r="N192" s="28">
        <v>0.0</v>
      </c>
      <c r="O192" s="20" t="s">
        <v>10</v>
      </c>
      <c r="P192" s="21">
        <v>50.0</v>
      </c>
      <c r="Q192" s="19">
        <v>0.0</v>
      </c>
      <c r="R192" s="20" t="s">
        <v>10</v>
      </c>
      <c r="S192" s="21">
        <v>10.0</v>
      </c>
    </row>
    <row r="193">
      <c r="A193" s="4"/>
      <c r="B193" s="6" t="s">
        <v>327</v>
      </c>
      <c r="C193" s="7" t="str">
        <f>IF(AND(E194/G194=1, H194/J194=1, K194/M194=1, N194/P194=1, Q194/S194=1), "✔️", "❌")</f>
        <v>❌</v>
      </c>
      <c r="D193" s="2" t="s">
        <v>7</v>
      </c>
      <c r="E193" s="2" t="s">
        <v>328</v>
      </c>
      <c r="H193" s="2" t="s">
        <v>329</v>
      </c>
      <c r="K193" s="2" t="s">
        <v>330</v>
      </c>
      <c r="N193" s="2" t="s">
        <v>331</v>
      </c>
      <c r="Q193" s="2" t="s">
        <v>332</v>
      </c>
    </row>
    <row r="194">
      <c r="A194" s="4"/>
      <c r="B194" s="17"/>
      <c r="C194" s="17"/>
      <c r="D194" s="24"/>
      <c r="E194" s="28">
        <v>0.0</v>
      </c>
      <c r="F194" s="20" t="s">
        <v>10</v>
      </c>
      <c r="G194" s="21">
        <v>200.0</v>
      </c>
      <c r="H194" s="28">
        <v>0.0</v>
      </c>
      <c r="I194" s="20" t="s">
        <v>10</v>
      </c>
      <c r="J194" s="21">
        <v>75.0</v>
      </c>
      <c r="K194" s="28">
        <v>0.0</v>
      </c>
      <c r="L194" s="20" t="s">
        <v>10</v>
      </c>
      <c r="M194" s="21">
        <v>50.0</v>
      </c>
      <c r="N194" s="28">
        <v>0.0</v>
      </c>
      <c r="O194" s="20" t="s">
        <v>10</v>
      </c>
      <c r="P194" s="21">
        <v>25.0</v>
      </c>
      <c r="Q194" s="19">
        <v>0.0</v>
      </c>
      <c r="R194" s="20" t="s">
        <v>10</v>
      </c>
      <c r="S194" s="21">
        <v>100.0</v>
      </c>
    </row>
    <row r="195">
      <c r="A195" s="4"/>
      <c r="B195" s="6" t="s">
        <v>333</v>
      </c>
      <c r="C195" s="7" t="str">
        <f>IF(AND(E196/G196=1, H196/J196=1, K196/M196=1, N196/P196=1, Q196/S196=1), "✔️", "❌")</f>
        <v>❌</v>
      </c>
      <c r="D195" s="2" t="s">
        <v>7</v>
      </c>
      <c r="E195" s="2" t="s">
        <v>334</v>
      </c>
      <c r="H195" s="2" t="s">
        <v>335</v>
      </c>
      <c r="K195" s="2" t="s">
        <v>336</v>
      </c>
      <c r="N195" s="2" t="s">
        <v>337</v>
      </c>
      <c r="Q195" s="2" t="s">
        <v>338</v>
      </c>
    </row>
    <row r="196">
      <c r="A196" s="4"/>
      <c r="C196" s="17"/>
      <c r="D196" s="24"/>
      <c r="E196" s="28">
        <v>0.0</v>
      </c>
      <c r="F196" s="20" t="s">
        <v>10</v>
      </c>
      <c r="G196" s="21">
        <v>200.0</v>
      </c>
      <c r="H196" s="28">
        <v>0.0</v>
      </c>
      <c r="I196" s="20" t="s">
        <v>10</v>
      </c>
      <c r="J196" s="21">
        <v>50.0</v>
      </c>
      <c r="K196" s="28">
        <v>0.0</v>
      </c>
      <c r="L196" s="20" t="s">
        <v>10</v>
      </c>
      <c r="M196" s="21">
        <v>50.0</v>
      </c>
      <c r="N196" s="28">
        <v>0.0</v>
      </c>
      <c r="O196" s="20" t="s">
        <v>10</v>
      </c>
      <c r="P196" s="21">
        <v>50.0</v>
      </c>
      <c r="Q196" s="19">
        <v>0.0</v>
      </c>
      <c r="R196" s="20" t="s">
        <v>10</v>
      </c>
      <c r="S196" s="21">
        <v>100.0</v>
      </c>
    </row>
    <row r="197">
      <c r="A197" s="4"/>
      <c r="B197" s="11" t="s">
        <v>339</v>
      </c>
      <c r="C197" s="7" t="str">
        <f>IF(AND(E198/G198=1, H198/J198=1, K198/M198=1, N198/P198=1, Q198/S198=1), "✔️", "❌")</f>
        <v>❌</v>
      </c>
      <c r="D197" s="2" t="s">
        <v>7</v>
      </c>
      <c r="E197" s="2" t="s">
        <v>340</v>
      </c>
      <c r="H197" s="2" t="s">
        <v>341</v>
      </c>
      <c r="K197" s="2" t="s">
        <v>342</v>
      </c>
      <c r="N197" s="2" t="s">
        <v>343</v>
      </c>
      <c r="Q197" s="2" t="s">
        <v>344</v>
      </c>
    </row>
    <row r="198">
      <c r="A198" s="4"/>
      <c r="B198" s="17"/>
      <c r="C198" s="17"/>
      <c r="D198" s="24"/>
      <c r="E198" s="28">
        <v>0.0</v>
      </c>
      <c r="F198" s="20" t="s">
        <v>10</v>
      </c>
      <c r="G198" s="21">
        <v>200.0</v>
      </c>
      <c r="H198" s="28">
        <v>0.0</v>
      </c>
      <c r="I198" s="20" t="s">
        <v>10</v>
      </c>
      <c r="J198" s="21">
        <v>50.0</v>
      </c>
      <c r="K198" s="28">
        <v>0.0</v>
      </c>
      <c r="L198" s="20" t="s">
        <v>10</v>
      </c>
      <c r="M198" s="21">
        <v>100.0</v>
      </c>
      <c r="N198" s="28">
        <v>0.0</v>
      </c>
      <c r="O198" s="20" t="s">
        <v>10</v>
      </c>
      <c r="P198" s="21">
        <v>25.0</v>
      </c>
      <c r="Q198" s="19">
        <v>0.0</v>
      </c>
      <c r="R198" s="20" t="s">
        <v>10</v>
      </c>
      <c r="S198" s="21">
        <v>25.0</v>
      </c>
    </row>
    <row r="199">
      <c r="A199" s="4"/>
      <c r="B199" s="6" t="s">
        <v>345</v>
      </c>
      <c r="C199" s="7" t="str">
        <f>IF(AND(E200/G200=1, H200/J200=1, K200/M200=1, N200/P200=1, Q200/S200=1), "✔️", "❌")</f>
        <v>❌</v>
      </c>
      <c r="D199" s="2" t="s">
        <v>7</v>
      </c>
      <c r="E199" s="2" t="s">
        <v>346</v>
      </c>
      <c r="H199" s="2" t="s">
        <v>347</v>
      </c>
      <c r="K199" s="2" t="s">
        <v>348</v>
      </c>
      <c r="N199" s="2" t="s">
        <v>349</v>
      </c>
      <c r="Q199" s="2" t="s">
        <v>350</v>
      </c>
    </row>
    <row r="200">
      <c r="A200" s="4"/>
      <c r="C200" s="17"/>
      <c r="D200" s="3"/>
      <c r="E200" s="1">
        <v>0.0</v>
      </c>
      <c r="F200" s="9" t="s">
        <v>10</v>
      </c>
      <c r="G200" s="10">
        <v>100.0</v>
      </c>
      <c r="H200" s="1">
        <v>0.0</v>
      </c>
      <c r="I200" s="9" t="s">
        <v>10</v>
      </c>
      <c r="J200" s="10">
        <v>100.0</v>
      </c>
      <c r="K200" s="1">
        <v>0.0</v>
      </c>
      <c r="L200" s="9" t="s">
        <v>10</v>
      </c>
      <c r="M200" s="10">
        <v>75.0</v>
      </c>
      <c r="N200" s="1">
        <v>0.0</v>
      </c>
      <c r="O200" s="9" t="s">
        <v>10</v>
      </c>
      <c r="P200" s="10">
        <v>50.0</v>
      </c>
      <c r="Q200" s="8">
        <v>0.0</v>
      </c>
      <c r="R200" s="9" t="s">
        <v>10</v>
      </c>
      <c r="S200" s="10">
        <v>25.0</v>
      </c>
    </row>
    <row r="201">
      <c r="A201" s="45"/>
      <c r="B201" s="45"/>
      <c r="C201" s="45"/>
      <c r="D201" s="46"/>
      <c r="E201" s="45"/>
      <c r="F201" s="46"/>
      <c r="G201" s="46"/>
      <c r="H201" s="45"/>
      <c r="I201" s="46"/>
      <c r="J201" s="46"/>
      <c r="K201" s="45"/>
      <c r="L201" s="46"/>
      <c r="M201" s="46"/>
      <c r="N201" s="45"/>
      <c r="O201" s="46"/>
      <c r="P201" s="45"/>
      <c r="Q201" s="46"/>
      <c r="R201" s="45"/>
      <c r="S201" s="45"/>
    </row>
    <row r="202">
      <c r="A202" s="4"/>
      <c r="B202" s="11" t="s">
        <v>351</v>
      </c>
      <c r="C202" s="12" t="str">
        <f>IF(AND(E203/G203=1, H203/J203=1, K203/M203=1), "✔️", "❌")</f>
        <v>❌</v>
      </c>
      <c r="D202" s="13"/>
      <c r="E202" s="13" t="s">
        <v>352</v>
      </c>
      <c r="F202" s="14"/>
      <c r="G202" s="14"/>
      <c r="H202" s="13" t="s">
        <v>353</v>
      </c>
      <c r="I202" s="14"/>
      <c r="J202" s="14"/>
      <c r="K202" s="13" t="s">
        <v>354</v>
      </c>
      <c r="L202" s="14"/>
      <c r="M202" s="14"/>
      <c r="N202" s="15"/>
      <c r="O202" s="16"/>
      <c r="P202" s="15"/>
      <c r="Q202" s="16"/>
      <c r="R202" s="15"/>
      <c r="S202" s="15"/>
    </row>
    <row r="203">
      <c r="A203" s="4"/>
      <c r="B203" s="17"/>
      <c r="C203" s="17"/>
      <c r="D203" s="24"/>
      <c r="E203" s="28">
        <v>34.0</v>
      </c>
      <c r="F203" s="20" t="s">
        <v>10</v>
      </c>
      <c r="G203" s="21">
        <v>200.0</v>
      </c>
      <c r="H203" s="28">
        <v>0.0</v>
      </c>
      <c r="I203" s="20" t="s">
        <v>10</v>
      </c>
      <c r="J203" s="21">
        <v>200.0</v>
      </c>
      <c r="K203" s="28">
        <v>300.0</v>
      </c>
      <c r="L203" s="20" t="s">
        <v>10</v>
      </c>
      <c r="M203" s="21">
        <v>300.0</v>
      </c>
      <c r="N203" s="22"/>
      <c r="O203" s="23"/>
      <c r="P203" s="22"/>
      <c r="Q203" s="23"/>
      <c r="R203" s="22"/>
      <c r="S203" s="22"/>
    </row>
    <row r="204">
      <c r="A204" s="4"/>
      <c r="B204" s="6" t="s">
        <v>355</v>
      </c>
      <c r="C204" s="12" t="str">
        <f>IF(AND(E205/G205=1, H205/J205=1, K205/M205=1), "✔️", "❌")</f>
        <v>❌</v>
      </c>
      <c r="D204" s="2"/>
      <c r="E204" s="2" t="s">
        <v>356</v>
      </c>
      <c r="H204" s="2" t="s">
        <v>357</v>
      </c>
      <c r="K204" s="2" t="s">
        <v>358</v>
      </c>
      <c r="N204" s="4"/>
      <c r="O204" s="3"/>
      <c r="P204" s="4"/>
      <c r="Q204" s="3"/>
      <c r="R204" s="4"/>
      <c r="S204" s="4"/>
    </row>
    <row r="205">
      <c r="A205" s="4"/>
      <c r="B205" s="17"/>
      <c r="C205" s="17"/>
      <c r="D205" s="24"/>
      <c r="E205" s="28">
        <v>13.0</v>
      </c>
      <c r="F205" s="20" t="s">
        <v>10</v>
      </c>
      <c r="G205" s="21">
        <v>200.0</v>
      </c>
      <c r="H205" s="28">
        <v>0.0</v>
      </c>
      <c r="I205" s="20" t="s">
        <v>10</v>
      </c>
      <c r="J205" s="21">
        <v>20.0</v>
      </c>
      <c r="K205" s="28">
        <v>0.0</v>
      </c>
      <c r="L205" s="20" t="s">
        <v>10</v>
      </c>
      <c r="M205" s="21">
        <v>2.0</v>
      </c>
      <c r="N205" s="22"/>
      <c r="O205" s="23"/>
      <c r="P205" s="22"/>
      <c r="Q205" s="23"/>
      <c r="R205" s="22"/>
      <c r="S205" s="22"/>
    </row>
    <row r="206">
      <c r="A206" s="4"/>
      <c r="B206" s="6" t="s">
        <v>359</v>
      </c>
      <c r="C206" s="12" t="str">
        <f>IF(AND(E207/G207=1, H207/J207=1, K207/M207=1), "✔️", "❌")</f>
        <v>❌</v>
      </c>
      <c r="D206" s="2"/>
      <c r="E206" s="2" t="s">
        <v>360</v>
      </c>
      <c r="H206" s="2" t="s">
        <v>361</v>
      </c>
      <c r="K206" s="2" t="s">
        <v>362</v>
      </c>
      <c r="N206" s="4"/>
      <c r="O206" s="3"/>
      <c r="P206" s="4"/>
      <c r="Q206" s="3"/>
      <c r="R206" s="4"/>
      <c r="S206" s="4"/>
    </row>
    <row r="207">
      <c r="A207" s="4"/>
      <c r="B207" s="17"/>
      <c r="C207" s="17"/>
      <c r="D207" s="24"/>
      <c r="E207" s="28">
        <v>0.0</v>
      </c>
      <c r="F207" s="20" t="s">
        <v>10</v>
      </c>
      <c r="G207" s="21">
        <v>200.0</v>
      </c>
      <c r="H207" s="28">
        <v>2.0</v>
      </c>
      <c r="I207" s="20" t="s">
        <v>10</v>
      </c>
      <c r="J207" s="21">
        <v>50.0</v>
      </c>
      <c r="K207" s="28">
        <v>4.0</v>
      </c>
      <c r="L207" s="20" t="s">
        <v>10</v>
      </c>
      <c r="M207" s="21">
        <v>25.0</v>
      </c>
      <c r="N207" s="22"/>
      <c r="O207" s="23"/>
      <c r="P207" s="22"/>
      <c r="Q207" s="23"/>
      <c r="R207" s="22"/>
      <c r="S207" s="22"/>
    </row>
    <row r="208">
      <c r="A208" s="4"/>
      <c r="B208" s="6" t="s">
        <v>363</v>
      </c>
      <c r="C208" s="12" t="str">
        <f>IF(AND(E209/G209=1, H209/J209=1), "✔️", "❌")</f>
        <v>❌</v>
      </c>
      <c r="D208" s="2"/>
      <c r="E208" s="2" t="s">
        <v>364</v>
      </c>
      <c r="H208" s="2" t="s">
        <v>365</v>
      </c>
      <c r="K208" s="4"/>
      <c r="L208" s="3"/>
      <c r="M208" s="3"/>
      <c r="N208" s="4"/>
      <c r="O208" s="3"/>
      <c r="P208" s="4"/>
      <c r="Q208" s="3"/>
      <c r="R208" s="4"/>
      <c r="S208" s="4"/>
    </row>
    <row r="209">
      <c r="A209" s="4"/>
      <c r="B209" s="17"/>
      <c r="C209" s="17"/>
      <c r="D209" s="23"/>
      <c r="E209" s="28">
        <v>0.0</v>
      </c>
      <c r="F209" s="20" t="s">
        <v>10</v>
      </c>
      <c r="G209" s="21">
        <v>200.0</v>
      </c>
      <c r="H209" s="28">
        <v>0.0</v>
      </c>
      <c r="I209" s="20" t="s">
        <v>10</v>
      </c>
      <c r="J209" s="21">
        <v>50.0</v>
      </c>
      <c r="K209" s="22"/>
      <c r="L209" s="23"/>
      <c r="M209" s="23"/>
      <c r="N209" s="22"/>
      <c r="O209" s="23"/>
      <c r="P209" s="22"/>
      <c r="Q209" s="23"/>
      <c r="R209" s="22"/>
      <c r="S209" s="22"/>
    </row>
  </sheetData>
  <mergeCells count="474">
    <mergeCell ref="H129:J129"/>
    <mergeCell ref="H131:J131"/>
    <mergeCell ref="K131:M131"/>
    <mergeCell ref="N131:P131"/>
    <mergeCell ref="H119:J119"/>
    <mergeCell ref="H121:J121"/>
    <mergeCell ref="K121:M121"/>
    <mergeCell ref="N121:P121"/>
    <mergeCell ref="H123:J123"/>
    <mergeCell ref="K123:M123"/>
    <mergeCell ref="H127:J127"/>
    <mergeCell ref="H38:J38"/>
    <mergeCell ref="H40:J40"/>
    <mergeCell ref="H42:J42"/>
    <mergeCell ref="H46:J46"/>
    <mergeCell ref="H48:J48"/>
    <mergeCell ref="K48:M48"/>
    <mergeCell ref="N48:P48"/>
    <mergeCell ref="H50:J50"/>
    <mergeCell ref="H52:J52"/>
    <mergeCell ref="H54:J54"/>
    <mergeCell ref="K54:M54"/>
    <mergeCell ref="N54:P54"/>
    <mergeCell ref="H58:J58"/>
    <mergeCell ref="H62:J62"/>
    <mergeCell ref="H64:J64"/>
    <mergeCell ref="H66:J66"/>
    <mergeCell ref="H68:J68"/>
    <mergeCell ref="K68:M68"/>
    <mergeCell ref="H70:J70"/>
    <mergeCell ref="K70:M70"/>
    <mergeCell ref="K72:M72"/>
    <mergeCell ref="H72:J72"/>
    <mergeCell ref="H74:J74"/>
    <mergeCell ref="K74:M74"/>
    <mergeCell ref="H76:J76"/>
    <mergeCell ref="K76:M76"/>
    <mergeCell ref="H78:J78"/>
    <mergeCell ref="H80:J80"/>
    <mergeCell ref="H83:J83"/>
    <mergeCell ref="H85:J85"/>
    <mergeCell ref="H87:J87"/>
    <mergeCell ref="H89:J89"/>
    <mergeCell ref="H91:J91"/>
    <mergeCell ref="H93:J93"/>
    <mergeCell ref="H95:J95"/>
    <mergeCell ref="H97:J97"/>
    <mergeCell ref="H99:J99"/>
    <mergeCell ref="H101:J101"/>
    <mergeCell ref="H103:J103"/>
    <mergeCell ref="K103:M103"/>
    <mergeCell ref="H105:J105"/>
    <mergeCell ref="K107:M107"/>
    <mergeCell ref="H107:J107"/>
    <mergeCell ref="H109:J109"/>
    <mergeCell ref="H111:J111"/>
    <mergeCell ref="H117:J117"/>
    <mergeCell ref="K117:M117"/>
    <mergeCell ref="N117:P117"/>
    <mergeCell ref="Q117:S117"/>
    <mergeCell ref="H154:J154"/>
    <mergeCell ref="K154:M154"/>
    <mergeCell ref="E150:G150"/>
    <mergeCell ref="H150:J150"/>
    <mergeCell ref="K150:M150"/>
    <mergeCell ref="E152:G152"/>
    <mergeCell ref="H152:J152"/>
    <mergeCell ref="K152:M152"/>
    <mergeCell ref="E154:G154"/>
    <mergeCell ref="B113:B114"/>
    <mergeCell ref="B115:B116"/>
    <mergeCell ref="B117:B118"/>
    <mergeCell ref="B119:B120"/>
    <mergeCell ref="B121:B122"/>
    <mergeCell ref="C121:C122"/>
    <mergeCell ref="C123:C124"/>
    <mergeCell ref="B133:B134"/>
    <mergeCell ref="C133:C134"/>
    <mergeCell ref="B135:B136"/>
    <mergeCell ref="C135:C136"/>
    <mergeCell ref="H135:J135"/>
    <mergeCell ref="K135:M135"/>
    <mergeCell ref="B137:B138"/>
    <mergeCell ref="C137:C138"/>
    <mergeCell ref="E137:G137"/>
    <mergeCell ref="H137:J137"/>
    <mergeCell ref="B123:B124"/>
    <mergeCell ref="B125:B126"/>
    <mergeCell ref="B127:B128"/>
    <mergeCell ref="B129:B130"/>
    <mergeCell ref="C129:C130"/>
    <mergeCell ref="B131:B132"/>
    <mergeCell ref="C131:C132"/>
    <mergeCell ref="B141:B142"/>
    <mergeCell ref="B143:B144"/>
    <mergeCell ref="C143:C144"/>
    <mergeCell ref="B145:B146"/>
    <mergeCell ref="C145:C146"/>
    <mergeCell ref="B139:B140"/>
    <mergeCell ref="C139:C140"/>
    <mergeCell ref="E139:G139"/>
    <mergeCell ref="H139:J139"/>
    <mergeCell ref="C141:C142"/>
    <mergeCell ref="E141:G141"/>
    <mergeCell ref="H141:J141"/>
    <mergeCell ref="E143:G143"/>
    <mergeCell ref="H143:J143"/>
    <mergeCell ref="E145:G145"/>
    <mergeCell ref="H145:J145"/>
    <mergeCell ref="E148:G148"/>
    <mergeCell ref="H148:J148"/>
    <mergeCell ref="K148:M148"/>
    <mergeCell ref="A151:A153"/>
    <mergeCell ref="A154:A156"/>
    <mergeCell ref="A157:A159"/>
    <mergeCell ref="A86:A88"/>
    <mergeCell ref="A89:A91"/>
    <mergeCell ref="A92:A94"/>
    <mergeCell ref="A95:A97"/>
    <mergeCell ref="A98:A100"/>
    <mergeCell ref="A102:A103"/>
    <mergeCell ref="A148:A150"/>
    <mergeCell ref="B168:B169"/>
    <mergeCell ref="B170:B171"/>
    <mergeCell ref="C170:C171"/>
    <mergeCell ref="B172:B173"/>
    <mergeCell ref="C172:C173"/>
    <mergeCell ref="B174:B175"/>
    <mergeCell ref="C174:C175"/>
    <mergeCell ref="B176:B177"/>
    <mergeCell ref="C176:C177"/>
    <mergeCell ref="B178:B179"/>
    <mergeCell ref="C178:C179"/>
    <mergeCell ref="B180:B181"/>
    <mergeCell ref="C180:C181"/>
    <mergeCell ref="C182:C183"/>
    <mergeCell ref="B197:B198"/>
    <mergeCell ref="B199:B200"/>
    <mergeCell ref="B202:B203"/>
    <mergeCell ref="B204:B205"/>
    <mergeCell ref="B206:B207"/>
    <mergeCell ref="B208:B209"/>
    <mergeCell ref="B182:B183"/>
    <mergeCell ref="B184:B185"/>
    <mergeCell ref="B186:B187"/>
    <mergeCell ref="B188:B189"/>
    <mergeCell ref="B191:B192"/>
    <mergeCell ref="B193:B194"/>
    <mergeCell ref="B195:B196"/>
    <mergeCell ref="C199:C200"/>
    <mergeCell ref="C202:C203"/>
    <mergeCell ref="C204:C205"/>
    <mergeCell ref="C206:C207"/>
    <mergeCell ref="C208:C209"/>
    <mergeCell ref="C184:C185"/>
    <mergeCell ref="C186:C187"/>
    <mergeCell ref="C188:C189"/>
    <mergeCell ref="C191:C192"/>
    <mergeCell ref="C193:C194"/>
    <mergeCell ref="C195:C196"/>
    <mergeCell ref="C197:C198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A83:A85"/>
    <mergeCell ref="B83:B84"/>
    <mergeCell ref="C83:C84"/>
    <mergeCell ref="C85:C86"/>
    <mergeCell ref="C87:C88"/>
    <mergeCell ref="B85:B86"/>
    <mergeCell ref="B87:B88"/>
    <mergeCell ref="B89:B90"/>
    <mergeCell ref="B91:B92"/>
    <mergeCell ref="B93:B94"/>
    <mergeCell ref="B95:B96"/>
    <mergeCell ref="B97:B98"/>
    <mergeCell ref="C89:C90"/>
    <mergeCell ref="C91:C92"/>
    <mergeCell ref="C93:C94"/>
    <mergeCell ref="C95:C96"/>
    <mergeCell ref="C97:C98"/>
    <mergeCell ref="C99:C100"/>
    <mergeCell ref="C101:C102"/>
    <mergeCell ref="B99:B100"/>
    <mergeCell ref="B101:B102"/>
    <mergeCell ref="B103:B104"/>
    <mergeCell ref="B105:B106"/>
    <mergeCell ref="B107:B108"/>
    <mergeCell ref="B109:B110"/>
    <mergeCell ref="B111:B112"/>
    <mergeCell ref="C125:C126"/>
    <mergeCell ref="C127:C128"/>
    <mergeCell ref="C148:C149"/>
    <mergeCell ref="C150:C151"/>
    <mergeCell ref="C152:C153"/>
    <mergeCell ref="C154:C155"/>
    <mergeCell ref="C156:C157"/>
    <mergeCell ref="C158:C159"/>
    <mergeCell ref="C160:C161"/>
    <mergeCell ref="A161:A162"/>
    <mergeCell ref="C162:C163"/>
    <mergeCell ref="B166:B167"/>
    <mergeCell ref="C166:C167"/>
    <mergeCell ref="C168:C169"/>
    <mergeCell ref="K188:M188"/>
    <mergeCell ref="N188:P188"/>
    <mergeCell ref="E191:G191"/>
    <mergeCell ref="H191:J191"/>
    <mergeCell ref="K191:M191"/>
    <mergeCell ref="N191:P191"/>
    <mergeCell ref="E193:G193"/>
    <mergeCell ref="N193:P193"/>
    <mergeCell ref="N197:P197"/>
    <mergeCell ref="N199:P199"/>
    <mergeCell ref="H193:J193"/>
    <mergeCell ref="K193:M193"/>
    <mergeCell ref="E195:G195"/>
    <mergeCell ref="H195:J195"/>
    <mergeCell ref="K195:M195"/>
    <mergeCell ref="N195:P195"/>
    <mergeCell ref="E197:G197"/>
    <mergeCell ref="H197:J197"/>
    <mergeCell ref="K197:M197"/>
    <mergeCell ref="E199:G199"/>
    <mergeCell ref="H199:J199"/>
    <mergeCell ref="K199:M199"/>
    <mergeCell ref="H202:J202"/>
    <mergeCell ref="K202:M202"/>
    <mergeCell ref="E202:G202"/>
    <mergeCell ref="E204:G204"/>
    <mergeCell ref="H204:J204"/>
    <mergeCell ref="K204:M204"/>
    <mergeCell ref="E206:G206"/>
    <mergeCell ref="H206:J206"/>
    <mergeCell ref="K206:M206"/>
    <mergeCell ref="E121:G121"/>
    <mergeCell ref="E123:G123"/>
    <mergeCell ref="E125:G125"/>
    <mergeCell ref="E127:G127"/>
    <mergeCell ref="E129:G129"/>
    <mergeCell ref="E131:G131"/>
    <mergeCell ref="E133:G133"/>
    <mergeCell ref="E135:G135"/>
    <mergeCell ref="E156:G156"/>
    <mergeCell ref="H156:J156"/>
    <mergeCell ref="K156:M156"/>
    <mergeCell ref="E158:G158"/>
    <mergeCell ref="H158:J158"/>
    <mergeCell ref="K158:M158"/>
    <mergeCell ref="E160:G160"/>
    <mergeCell ref="H160:J160"/>
    <mergeCell ref="K160:M160"/>
    <mergeCell ref="E162:G162"/>
    <mergeCell ref="H162:J162"/>
    <mergeCell ref="K162:M162"/>
    <mergeCell ref="H164:J164"/>
    <mergeCell ref="E164:G164"/>
    <mergeCell ref="E166:G166"/>
    <mergeCell ref="H166:J166"/>
    <mergeCell ref="K166:M166"/>
    <mergeCell ref="E168:G168"/>
    <mergeCell ref="H168:J168"/>
    <mergeCell ref="K168:M168"/>
    <mergeCell ref="H174:J174"/>
    <mergeCell ref="K174:M174"/>
    <mergeCell ref="E170:G170"/>
    <mergeCell ref="H170:J170"/>
    <mergeCell ref="K170:M170"/>
    <mergeCell ref="E172:G172"/>
    <mergeCell ref="H172:J172"/>
    <mergeCell ref="K172:M172"/>
    <mergeCell ref="E174:G174"/>
    <mergeCell ref="E208:G208"/>
    <mergeCell ref="H208:J208"/>
    <mergeCell ref="E20:G20"/>
    <mergeCell ref="H20:J20"/>
    <mergeCell ref="E12:G12"/>
    <mergeCell ref="E14:G14"/>
    <mergeCell ref="H14:J14"/>
    <mergeCell ref="E16:G16"/>
    <mergeCell ref="H16:J16"/>
    <mergeCell ref="E18:G18"/>
    <mergeCell ref="H18:J18"/>
    <mergeCell ref="E4:G4"/>
    <mergeCell ref="H4:J4"/>
    <mergeCell ref="A2:A4"/>
    <mergeCell ref="B2:B3"/>
    <mergeCell ref="C2:C3"/>
    <mergeCell ref="E2:G2"/>
    <mergeCell ref="H2:J2"/>
    <mergeCell ref="C4:C5"/>
    <mergeCell ref="A5:A7"/>
    <mergeCell ref="H6:J6"/>
    <mergeCell ref="A11:A13"/>
    <mergeCell ref="A14:A16"/>
    <mergeCell ref="A17:A19"/>
    <mergeCell ref="A21:A22"/>
    <mergeCell ref="C6:C7"/>
    <mergeCell ref="E6:G6"/>
    <mergeCell ref="E8:G8"/>
    <mergeCell ref="H8:J8"/>
    <mergeCell ref="E10:G10"/>
    <mergeCell ref="H10:J10"/>
    <mergeCell ref="H12:J12"/>
    <mergeCell ref="B4:B5"/>
    <mergeCell ref="B6:B7"/>
    <mergeCell ref="A8:A10"/>
    <mergeCell ref="B8:B9"/>
    <mergeCell ref="C8:C9"/>
    <mergeCell ref="C10:C11"/>
    <mergeCell ref="C12:C13"/>
    <mergeCell ref="C14:C15"/>
    <mergeCell ref="C16:C17"/>
    <mergeCell ref="C18:C19"/>
    <mergeCell ref="C20:C21"/>
    <mergeCell ref="C22:C23"/>
    <mergeCell ref="H22:J22"/>
    <mergeCell ref="C24:C25"/>
    <mergeCell ref="H24:J24"/>
    <mergeCell ref="H26:J26"/>
    <mergeCell ref="H28:J28"/>
    <mergeCell ref="H30:J30"/>
    <mergeCell ref="H34:J34"/>
    <mergeCell ref="H36:J36"/>
    <mergeCell ref="K36:M36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C26:C27"/>
    <mergeCell ref="B28:B29"/>
    <mergeCell ref="C28:C29"/>
    <mergeCell ref="B30:B31"/>
    <mergeCell ref="C30:C31"/>
    <mergeCell ref="B32:B33"/>
    <mergeCell ref="C32:C33"/>
    <mergeCell ref="B34:B35"/>
    <mergeCell ref="C34:C35"/>
    <mergeCell ref="B36:B37"/>
    <mergeCell ref="C36:C37"/>
    <mergeCell ref="C38:C39"/>
    <mergeCell ref="B38:B39"/>
    <mergeCell ref="B40:B41"/>
    <mergeCell ref="B42:B43"/>
    <mergeCell ref="B44:B45"/>
    <mergeCell ref="B46:B47"/>
    <mergeCell ref="B48:B49"/>
    <mergeCell ref="B50:B51"/>
    <mergeCell ref="C40:C41"/>
    <mergeCell ref="C42:C43"/>
    <mergeCell ref="C44:C45"/>
    <mergeCell ref="C46:C47"/>
    <mergeCell ref="C48:C49"/>
    <mergeCell ref="C50:C51"/>
    <mergeCell ref="C52:C53"/>
    <mergeCell ref="B52:B53"/>
    <mergeCell ref="B54:B55"/>
    <mergeCell ref="B56:B57"/>
    <mergeCell ref="B58:B59"/>
    <mergeCell ref="B60:B61"/>
    <mergeCell ref="B62:B63"/>
    <mergeCell ref="B64:B65"/>
    <mergeCell ref="B76:B77"/>
    <mergeCell ref="C76:C77"/>
    <mergeCell ref="B78:B79"/>
    <mergeCell ref="C78:C79"/>
    <mergeCell ref="B80:B81"/>
    <mergeCell ref="C80:C81"/>
    <mergeCell ref="B66:B67"/>
    <mergeCell ref="B68:B69"/>
    <mergeCell ref="B70:B71"/>
    <mergeCell ref="B72:B73"/>
    <mergeCell ref="C72:C73"/>
    <mergeCell ref="B74:B75"/>
    <mergeCell ref="C74:C75"/>
    <mergeCell ref="C117:C118"/>
    <mergeCell ref="C119:C120"/>
    <mergeCell ref="C103:C104"/>
    <mergeCell ref="C105:C106"/>
    <mergeCell ref="C107:C108"/>
    <mergeCell ref="C109:C110"/>
    <mergeCell ref="C111:C112"/>
    <mergeCell ref="C113:C114"/>
    <mergeCell ref="C115:C116"/>
    <mergeCell ref="E22:G22"/>
    <mergeCell ref="E24:G24"/>
    <mergeCell ref="E26:G26"/>
    <mergeCell ref="E28:G28"/>
    <mergeCell ref="E30:G30"/>
    <mergeCell ref="E32:G32"/>
    <mergeCell ref="E34:G34"/>
    <mergeCell ref="E36:G36"/>
    <mergeCell ref="E38:G38"/>
    <mergeCell ref="E40:G40"/>
    <mergeCell ref="E42:G42"/>
    <mergeCell ref="E44:G44"/>
    <mergeCell ref="E46:G46"/>
    <mergeCell ref="E48:G48"/>
    <mergeCell ref="E50:G50"/>
    <mergeCell ref="E52:G52"/>
    <mergeCell ref="E54:G54"/>
    <mergeCell ref="E56:G56"/>
    <mergeCell ref="E58:G58"/>
    <mergeCell ref="E60:G60"/>
    <mergeCell ref="E62:G62"/>
    <mergeCell ref="E64:G64"/>
    <mergeCell ref="E66:G66"/>
    <mergeCell ref="E68:G68"/>
    <mergeCell ref="E70:G70"/>
    <mergeCell ref="E72:G72"/>
    <mergeCell ref="E74:G74"/>
    <mergeCell ref="E76:G76"/>
    <mergeCell ref="E78:G78"/>
    <mergeCell ref="E80:G80"/>
    <mergeCell ref="E83:G83"/>
    <mergeCell ref="E85:G85"/>
    <mergeCell ref="E87:G87"/>
    <mergeCell ref="E89:G89"/>
    <mergeCell ref="E91:G91"/>
    <mergeCell ref="E93:G93"/>
    <mergeCell ref="E95:G95"/>
    <mergeCell ref="E97:G97"/>
    <mergeCell ref="E99:G99"/>
    <mergeCell ref="E101:G101"/>
    <mergeCell ref="E103:G103"/>
    <mergeCell ref="E105:G105"/>
    <mergeCell ref="E107:G107"/>
    <mergeCell ref="E109:G109"/>
    <mergeCell ref="E111:G111"/>
    <mergeCell ref="E113:G113"/>
    <mergeCell ref="E115:G115"/>
    <mergeCell ref="E117:G117"/>
    <mergeCell ref="E119:G119"/>
    <mergeCell ref="B162:B163"/>
    <mergeCell ref="B164:B165"/>
    <mergeCell ref="C164:C165"/>
    <mergeCell ref="B148:B149"/>
    <mergeCell ref="B150:B151"/>
    <mergeCell ref="B152:B153"/>
    <mergeCell ref="B154:B155"/>
    <mergeCell ref="B156:B157"/>
    <mergeCell ref="B158:B159"/>
    <mergeCell ref="B160:B161"/>
    <mergeCell ref="E176:G176"/>
    <mergeCell ref="E178:G178"/>
    <mergeCell ref="H178:J178"/>
    <mergeCell ref="K178:M178"/>
    <mergeCell ref="E180:G180"/>
    <mergeCell ref="H180:J180"/>
    <mergeCell ref="K180:M180"/>
    <mergeCell ref="Q188:S188"/>
    <mergeCell ref="Q191:S191"/>
    <mergeCell ref="Q193:S193"/>
    <mergeCell ref="Q195:S195"/>
    <mergeCell ref="Q197:S197"/>
    <mergeCell ref="Q199:S199"/>
    <mergeCell ref="E182:G182"/>
    <mergeCell ref="H182:J182"/>
    <mergeCell ref="E184:G184"/>
    <mergeCell ref="E186:G186"/>
    <mergeCell ref="H186:J186"/>
    <mergeCell ref="E188:G188"/>
    <mergeCell ref="H188:J188"/>
  </mergeCells>
  <drawing r:id="rId1"/>
</worksheet>
</file>